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91AB8045-AFC0-B76E-F17D-A240E00664AE}"/>
  <workbookPr codeName="חוברת_עבודה_זו" defaultThemeVersion="124226"/>
  <mc:AlternateContent xmlns:mc="http://schemas.openxmlformats.org/markup-compatibility/2006">
    <mc:Choice Requires="x15">
      <x15ac:absPath xmlns:x15ac="http://schemas.microsoft.com/office/spreadsheetml/2010/11/ac" url="C:\Users\yuval\Desktop\דוגמא לגרסא חדשה ותיקון נדרש לקוד הסופי\"/>
    </mc:Choice>
  </mc:AlternateContent>
  <xr:revisionPtr revIDLastSave="0" documentId="13_ncr:1_{FC4982A3-9B70-4801-B24D-B0E53EC0881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definedNames>
    <definedName name="_xlnm.Print_Titles" localSheetId="0">Sheet1!$12:$12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" i="1" l="1"/>
  <c r="F4" i="1"/>
  <c r="F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Yuval</author>
  </authors>
  <commentList>
    <comment ref="R13" authorId="0" shapeId="0" xr:uid="{86F56962-C6DC-4F33-BDBF-2437E1D4C4C3}">
      <text>
        <r>
          <rPr>
            <b/>
            <sz val="9"/>
            <color indexed="81"/>
            <rFont val="Tahoma"/>
            <family val="2"/>
          </rPr>
          <t>TAL</t>
        </r>
        <r>
          <rPr>
            <sz val="9"/>
            <color indexed="81"/>
            <rFont val="Tahoma"/>
            <family val="2"/>
          </rPr>
          <t xml:space="preserve">
נא להוסיף גבולות אוטומטי כמו ביתר הטבלה.
הערה זה הינו בנוסף עם ההערות/שינויים שרשומים בקובץ גרסה ישנה (מצורף למייל זה)</t>
        </r>
      </text>
    </comment>
  </commentList>
</comments>
</file>

<file path=xl/sharedStrings.xml><?xml version="1.0" encoding="utf-8"?>
<sst xmlns="http://schemas.openxmlformats.org/spreadsheetml/2006/main" count="50" uniqueCount="35">
  <si>
    <t>מטבע</t>
  </si>
  <si>
    <t>כמות</t>
  </si>
  <si>
    <t>תאריך רכישה</t>
  </si>
  <si>
    <t>תאריך מכירה</t>
  </si>
  <si>
    <t>מחיר קניה</t>
  </si>
  <si>
    <t>מחיר מכירה</t>
  </si>
  <si>
    <t>מדד רכישה (לפי בסיס 51)</t>
  </si>
  <si>
    <t>מדד מכירה (לפי בסיס 51)</t>
  </si>
  <si>
    <t>תמורה בשקלים/שוי עסקת ברטר</t>
  </si>
  <si>
    <t>עלות מקורית נומינאלית</t>
  </si>
  <si>
    <t>סכום אינפלציוני</t>
  </si>
  <si>
    <t>עלות מקורית מתואמת</t>
  </si>
  <si>
    <t>רווח/הפסד נומינאלי</t>
  </si>
  <si>
    <t>רווח/הפסד ריאלי</t>
  </si>
  <si>
    <t>רווח/הפסד לצורכי מס</t>
  </si>
  <si>
    <t>בורסת קניה</t>
  </si>
  <si>
    <t>בורסת מכירה</t>
  </si>
  <si>
    <t>BCH</t>
  </si>
  <si>
    <t>BTC</t>
  </si>
  <si>
    <t>inf</t>
  </si>
  <si>
    <t>fork</t>
  </si>
  <si>
    <t>Bitgo</t>
  </si>
  <si>
    <t>Onchain</t>
  </si>
  <si>
    <t>Bits of Gold</t>
  </si>
  <si>
    <t>Bit2C</t>
  </si>
  <si>
    <t>רווח והפסד שולי</t>
  </si>
  <si>
    <t>עסקה</t>
  </si>
  <si>
    <t>ריכו סעיפים בשקלים/שוי עסקאות ברטר</t>
  </si>
  <si>
    <t>עלות מחיר מקורי</t>
  </si>
  <si>
    <t>הוצאות הקשורות במכירה שלא הופחתו מן התמורה</t>
  </si>
  <si>
    <t>רווח/הפסד לייחוס</t>
  </si>
  <si>
    <t>שדה</t>
  </si>
  <si>
    <t>סכום</t>
  </si>
  <si>
    <t>תמורה כוללת בשקלים/שוי עסקאות ברטר</t>
  </si>
  <si>
    <t>21א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</si>
</sst>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₪&quot;\ * #,##0.00_ ;_ &quot;₪&quot;\ * \-#,##0.00_ ;_ &quot;₪&quot;\ * &quot;-&quot;??_ ;_ @_ "/>
    <numFmt numFmtId="43" formatCode="_ * #,##0.00_ ;_ * \-#,##0.00_ ;_ * &quot;-&quot;??_ ;_ @_ "/>
    <numFmt numFmtId="164" formatCode="yyyy\-mm\-dd"/>
    <numFmt numFmtId="165" formatCode="_ &quot;₪&quot;\ * #,##0.0_ ;_ &quot;₪&quot;\ * \-#,##0.0_ ;_ &quot;₪&quot;\ * &quot;-&quot;??_ ;_ @_ "/>
    <numFmt numFmtId="166" formatCode="_ * #,##0_ ;_ * \-#,##0_ ;_ * &quot;-&quot;??_ ;_ 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David"/>
      <family val="2"/>
    </font>
    <font>
      <sz val="11"/>
      <color theme="1"/>
      <name val="David"/>
      <family val="2"/>
    </font>
    <font>
      <b/>
      <sz val="10"/>
      <color theme="1"/>
      <name val="David"/>
      <family val="2"/>
    </font>
    <font>
      <sz val="10"/>
      <color theme="1"/>
      <name val="David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3" fillId="0" borderId="0" xfId="0" applyFont="1" applyAlignment="1">
      <alignment horizontal="center" wrapText="1"/>
    </xf>
    <xf numFmtId="0" fontId="3" fillId="0" borderId="0" xfId="0" applyFont="1"/>
    <xf numFmtId="44" fontId="3" fillId="0" borderId="0" xfId="2" applyFont="1"/>
    <xf numFmtId="9" fontId="3" fillId="0" borderId="0" xfId="3" applyFont="1" applyAlignment="1">
      <alignment horizontal="right"/>
    </xf>
    <xf numFmtId="166" fontId="3" fillId="0" borderId="0" xfId="1" applyNumberFormat="1" applyFont="1"/>
    <xf numFmtId="165" fontId="3" fillId="0" borderId="0" xfId="2" applyNumberFormat="1" applyFont="1"/>
    <xf numFmtId="0" fontId="5" fillId="0" borderId="0" xfId="0" applyFont="1" applyAlignment="1">
      <alignment horizontal="right"/>
    </xf>
    <xf numFmtId="0" fontId="2" fillId="0" borderId="0" xfId="0" applyFont="1"/>
    <xf numFmtId="0" fontId="2" fillId="0" borderId="4" xfId="0" applyFont="1" applyBorder="1"/>
    <xf numFmtId="0" fontId="2" fillId="0" borderId="2" xfId="0" applyFont="1" applyBorder="1"/>
    <xf numFmtId="0" fontId="4" fillId="0" borderId="0" xfId="0" applyFont="1" applyBorder="1" applyAlignment="1">
      <alignment horizontal="right"/>
    </xf>
    <xf numFmtId="0" fontId="2" fillId="0" borderId="0" xfId="0" applyFont="1" applyBorder="1"/>
    <xf numFmtId="0" fontId="2" fillId="0" borderId="6" xfId="0" applyFont="1" applyBorder="1"/>
    <xf numFmtId="0" fontId="4" fillId="0" borderId="7" xfId="0" applyFont="1" applyBorder="1" applyAlignment="1">
      <alignment horizontal="right"/>
    </xf>
    <xf numFmtId="0" fontId="2" fillId="0" borderId="7" xfId="0" applyFont="1" applyBorder="1"/>
    <xf numFmtId="0" fontId="2" fillId="0" borderId="0" xfId="0" applyFont="1" applyBorder="1" applyAlignment="1">
      <alignment horizontal="center"/>
    </xf>
    <xf numFmtId="0" fontId="2" fillId="0" borderId="2" xfId="0" applyFont="1" applyBorder="1" applyAlignment="1">
      <alignment horizontal="right"/>
    </xf>
    <xf numFmtId="0" fontId="2" fillId="0" borderId="12" xfId="0" applyFont="1" applyBorder="1" applyAlignment="1">
      <alignment horizontal="center" wrapText="1"/>
    </xf>
    <xf numFmtId="44" fontId="2" fillId="0" borderId="12" xfId="2" applyFont="1" applyBorder="1" applyAlignment="1">
      <alignment horizontal="center" wrapText="1"/>
    </xf>
    <xf numFmtId="9" fontId="2" fillId="0" borderId="12" xfId="3" applyFont="1" applyBorder="1" applyAlignment="1">
      <alignment horizontal="center" wrapText="1"/>
    </xf>
    <xf numFmtId="166" fontId="2" fillId="0" borderId="12" xfId="1" applyNumberFormat="1" applyFont="1" applyBorder="1" applyAlignment="1">
      <alignment horizontal="center" wrapText="1"/>
    </xf>
    <xf numFmtId="165" fontId="2" fillId="0" borderId="12" xfId="2" applyNumberFormat="1" applyFont="1" applyBorder="1" applyAlignment="1">
      <alignment horizontal="center" wrapText="1"/>
    </xf>
    <xf numFmtId="0" fontId="3" fillId="0" borderId="1" xfId="0" applyFont="1" applyBorder="1"/>
    <xf numFmtId="0" fontId="5" fillId="0" borderId="1" xfId="0" applyFont="1" applyBorder="1" applyAlignment="1">
      <alignment horizontal="right"/>
    </xf>
    <xf numFmtId="164" fontId="3" fillId="0" borderId="1" xfId="0" applyNumberFormat="1" applyFont="1" applyBorder="1"/>
    <xf numFmtId="44" fontId="3" fillId="0" borderId="1" xfId="2" applyFont="1" applyBorder="1"/>
    <xf numFmtId="9" fontId="3" fillId="0" borderId="1" xfId="3" applyFont="1" applyBorder="1" applyAlignment="1">
      <alignment horizontal="right"/>
    </xf>
    <xf numFmtId="166" fontId="3" fillId="0" borderId="1" xfId="1" applyNumberFormat="1" applyFont="1" applyBorder="1"/>
    <xf numFmtId="165" fontId="3" fillId="0" borderId="1" xfId="2" applyNumberFormat="1" applyFont="1" applyBorder="1"/>
    <xf numFmtId="166" fontId="3" fillId="0" borderId="1" xfId="1" applyNumberFormat="1" applyFont="1" applyBorder="1" applyAlignment="1">
      <alignment horizontal="right"/>
    </xf>
    <xf numFmtId="165" fontId="3" fillId="0" borderId="13" xfId="2" applyNumberFormat="1" applyFont="1" applyBorder="1"/>
    <xf numFmtId="0" fontId="3" fillId="2" borderId="0" xfId="0" applyFont="1" applyFill="1" applyBorder="1"/>
    <xf numFmtId="44" fontId="3" fillId="0" borderId="6" xfId="2" applyFont="1" applyBorder="1" applyAlignment="1">
      <alignment horizontal="right"/>
    </xf>
    <xf numFmtId="44" fontId="3" fillId="0" borderId="9" xfId="2" applyFont="1" applyBorder="1" applyAlignment="1">
      <alignment horizontal="right"/>
    </xf>
    <xf numFmtId="44" fontId="3" fillId="0" borderId="3" xfId="2" applyFont="1" applyBorder="1" applyAlignment="1">
      <alignment horizontal="right"/>
    </xf>
    <xf numFmtId="44" fontId="3" fillId="0" borderId="11" xfId="2" applyFont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44" fontId="2" fillId="0" borderId="3" xfId="2" applyFont="1" applyBorder="1" applyAlignment="1">
      <alignment horizontal="center"/>
    </xf>
    <xf numFmtId="44" fontId="2" fillId="0" borderId="11" xfId="2" applyFont="1" applyBorder="1" applyAlignment="1">
      <alignment horizontal="center"/>
    </xf>
    <xf numFmtId="44" fontId="3" fillId="0" borderId="2" xfId="2" applyFont="1" applyBorder="1" applyAlignment="1">
      <alignment horizontal="right"/>
    </xf>
    <xf numFmtId="44" fontId="3" fillId="0" borderId="8" xfId="2" applyFont="1" applyBorder="1" applyAlignment="1">
      <alignment horizontal="right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S19"/>
  <sheetViews>
    <sheetView rightToLeft="1" tabSelected="1" zoomScaleNormal="100" workbookViewId="0">
      <selection activeCell="Q20" sqref="Q20"/>
    </sheetView>
  </sheetViews>
  <sheetFormatPr defaultRowHeight="15" x14ac:dyDescent="0.25"/>
  <cols>
    <col min="1" max="1" width="9.140625" style="2"/>
    <col min="2" max="2" width="6" style="7" bestFit="1" customWidth="1"/>
    <col min="3" max="3" width="11" style="2" bestFit="1" customWidth="1"/>
    <col min="4" max="5" width="10.42578125" style="2" bestFit="1" customWidth="1"/>
    <col min="6" max="7" width="12" style="3" bestFit="1" customWidth="1"/>
    <col min="8" max="8" width="6.7109375" style="4" bestFit="1" customWidth="1"/>
    <col min="9" max="9" width="11.28515625" style="5" customWidth="1"/>
    <col min="10" max="10" width="11.7109375" style="5" customWidth="1"/>
    <col min="11" max="11" width="11.85546875" style="6" bestFit="1" customWidth="1"/>
    <col min="12" max="12" width="9.7109375" style="6" bestFit="1" customWidth="1"/>
    <col min="13" max="13" width="8.5703125" style="6" bestFit="1" customWidth="1"/>
    <col min="14" max="14" width="8.42578125" style="6" bestFit="1" customWidth="1"/>
    <col min="15" max="15" width="11" style="6" bestFit="1" customWidth="1"/>
    <col min="16" max="17" width="11.140625" style="6" bestFit="1" customWidth="1"/>
    <col min="18" max="18" width="6.5703125" style="2" bestFit="1" customWidth="1"/>
    <col min="19" max="19" width="11.140625" style="2" bestFit="1" customWidth="1"/>
    <col min="20" max="16384" width="9.140625" style="2"/>
  </cols>
  <sheetData>
    <row r="1" spans="1:19" ht="15.75" thickBot="1" x14ac:dyDescent="0.3"/>
    <row r="2" spans="1:19" ht="15.75" thickBot="1" x14ac:dyDescent="0.3">
      <c r="A2" s="37" t="s">
        <v>27</v>
      </c>
      <c r="B2" s="38"/>
      <c r="C2" s="38"/>
      <c r="D2" s="38"/>
      <c r="E2" s="9" t="s">
        <v>31</v>
      </c>
      <c r="F2" s="39" t="s">
        <v>32</v>
      </c>
      <c r="G2" s="40"/>
    </row>
    <row r="3" spans="1:19" x14ac:dyDescent="0.25">
      <c r="A3" s="17" t="s">
        <v>33</v>
      </c>
      <c r="B3" s="16"/>
      <c r="C3" s="16"/>
      <c r="D3" s="16"/>
      <c r="E3" s="10">
        <v>15</v>
      </c>
      <c r="F3" s="35">
        <f>SUM(K:K)</f>
        <v>100375.85</v>
      </c>
      <c r="G3" s="36"/>
    </row>
    <row r="4" spans="1:19" x14ac:dyDescent="0.25">
      <c r="A4" s="10" t="s">
        <v>28</v>
      </c>
      <c r="B4" s="11"/>
      <c r="C4" s="12"/>
      <c r="D4" s="12"/>
      <c r="E4" s="10">
        <v>20</v>
      </c>
      <c r="F4" s="41">
        <f>F3-F5</f>
        <v>1704.8278266000125</v>
      </c>
      <c r="G4" s="42"/>
    </row>
    <row r="5" spans="1:19" x14ac:dyDescent="0.25">
      <c r="A5" s="10" t="s">
        <v>14</v>
      </c>
      <c r="B5" s="11"/>
      <c r="C5" s="12"/>
      <c r="D5" s="12"/>
      <c r="E5" s="10"/>
      <c r="F5" s="41">
        <f>SUM(Q:Q)</f>
        <v>98671.022173399993</v>
      </c>
      <c r="G5" s="42"/>
    </row>
    <row r="6" spans="1:19" x14ac:dyDescent="0.25">
      <c r="A6" s="10" t="s">
        <v>29</v>
      </c>
      <c r="B6" s="11"/>
      <c r="C6" s="12"/>
      <c r="D6" s="12"/>
      <c r="E6" s="10">
        <v>55</v>
      </c>
      <c r="F6" s="41"/>
      <c r="G6" s="42"/>
    </row>
    <row r="7" spans="1:19" ht="15.75" thickBot="1" x14ac:dyDescent="0.3">
      <c r="A7" s="13" t="s">
        <v>30</v>
      </c>
      <c r="B7" s="14"/>
      <c r="C7" s="15"/>
      <c r="D7" s="15"/>
      <c r="E7" s="13" t="s">
        <v>34</v>
      </c>
      <c r="F7" s="33">
        <f>F5-F6</f>
        <v>98671.022173399993</v>
      </c>
      <c r="G7" s="34"/>
    </row>
    <row r="8" spans="1:19" x14ac:dyDescent="0.25">
      <c r="A8" s="8"/>
    </row>
    <row r="12" spans="1:19" s="1" customFormat="1" ht="45" x14ac:dyDescent="0.25">
      <c r="A12" s="18" t="s">
        <v>26</v>
      </c>
      <c r="B12" s="18" t="s">
        <v>0</v>
      </c>
      <c r="C12" s="18" t="s">
        <v>1</v>
      </c>
      <c r="D12" s="18" t="s">
        <v>2</v>
      </c>
      <c r="E12" s="18" t="s">
        <v>3</v>
      </c>
      <c r="F12" s="19" t="s">
        <v>4</v>
      </c>
      <c r="G12" s="19" t="s">
        <v>5</v>
      </c>
      <c r="H12" s="20" t="s">
        <v>25</v>
      </c>
      <c r="I12" s="21" t="s">
        <v>6</v>
      </c>
      <c r="J12" s="21" t="s">
        <v>7</v>
      </c>
      <c r="K12" s="22" t="s">
        <v>8</v>
      </c>
      <c r="L12" s="22" t="s">
        <v>9</v>
      </c>
      <c r="M12" s="22" t="s">
        <v>10</v>
      </c>
      <c r="N12" s="22" t="s">
        <v>11</v>
      </c>
      <c r="O12" s="22" t="s">
        <v>12</v>
      </c>
      <c r="P12" s="22" t="s">
        <v>13</v>
      </c>
      <c r="Q12" s="22" t="s">
        <v>14</v>
      </c>
      <c r="R12" s="18" t="s">
        <v>15</v>
      </c>
      <c r="S12" s="18" t="s">
        <v>16</v>
      </c>
    </row>
    <row r="13" spans="1:19" x14ac:dyDescent="0.25">
      <c r="A13" s="23">
        <v>1</v>
      </c>
      <c r="B13" s="24" t="s">
        <v>17</v>
      </c>
      <c r="C13" s="23">
        <v>9.42</v>
      </c>
      <c r="D13" s="25">
        <v>42952</v>
      </c>
      <c r="E13" s="25">
        <v>42953</v>
      </c>
      <c r="F13" s="26">
        <v>0</v>
      </c>
      <c r="G13" s="26">
        <v>1082.356548832272</v>
      </c>
      <c r="H13" s="27" t="s">
        <v>19</v>
      </c>
      <c r="I13" s="30">
        <v>33569481.560914703</v>
      </c>
      <c r="J13" s="28">
        <v>33569481.560914703</v>
      </c>
      <c r="K13" s="29">
        <v>10195.799999999999</v>
      </c>
      <c r="L13" s="29">
        <v>0</v>
      </c>
      <c r="M13" s="29">
        <v>0</v>
      </c>
      <c r="N13" s="29">
        <v>0</v>
      </c>
      <c r="O13" s="29">
        <v>10195.799999999999</v>
      </c>
      <c r="P13" s="29">
        <v>10195.799999999999</v>
      </c>
      <c r="Q13" s="31">
        <v>10195.799999999999</v>
      </c>
      <c r="R13" s="32" t="s">
        <v>20</v>
      </c>
      <c r="S13" s="32" t="s">
        <v>22</v>
      </c>
    </row>
    <row r="14" spans="1:19" x14ac:dyDescent="0.25">
      <c r="A14" s="23">
        <v>2</v>
      </c>
      <c r="B14" s="24" t="s">
        <v>18</v>
      </c>
      <c r="C14" s="23">
        <v>1.2102999999999999</v>
      </c>
      <c r="D14" s="25">
        <v>41364</v>
      </c>
      <c r="E14" s="25">
        <v>42884</v>
      </c>
      <c r="F14" s="26">
        <v>396.74976452119307</v>
      </c>
      <c r="G14" s="26">
        <v>8381.63979178716</v>
      </c>
      <c r="H14" s="27">
        <v>20.562999999999999</v>
      </c>
      <c r="I14" s="28">
        <v>33410549.276846301</v>
      </c>
      <c r="J14" s="28">
        <v>33703893.899497002</v>
      </c>
      <c r="K14" s="29">
        <v>10144.299999999999</v>
      </c>
      <c r="L14" s="29">
        <v>480.19</v>
      </c>
      <c r="M14" s="29">
        <v>4.2160681999999952</v>
      </c>
      <c r="N14" s="29">
        <v>484.40606819999999</v>
      </c>
      <c r="O14" s="29">
        <v>9664.1099999999988</v>
      </c>
      <c r="P14" s="29">
        <v>9659.8939317999993</v>
      </c>
      <c r="Q14" s="31">
        <v>9659.8939317999993</v>
      </c>
      <c r="R14" s="32" t="s">
        <v>21</v>
      </c>
      <c r="S14" s="32" t="s">
        <v>23</v>
      </c>
    </row>
    <row r="15" spans="1:19" x14ac:dyDescent="0.25">
      <c r="A15" s="23"/>
      <c r="B15" s="24" t="s">
        <v>18</v>
      </c>
      <c r="C15" s="23">
        <v>0.9</v>
      </c>
      <c r="D15" s="25">
        <v>41364</v>
      </c>
      <c r="E15" s="25">
        <v>42954</v>
      </c>
      <c r="F15" s="26">
        <v>396.74026666666663</v>
      </c>
      <c r="G15" s="26">
        <v>10992.95366666667</v>
      </c>
      <c r="H15" s="27">
        <v>26.914999999999999</v>
      </c>
      <c r="I15" s="28">
        <v>33410549.276846301</v>
      </c>
      <c r="J15" s="28">
        <v>33569481.560914703</v>
      </c>
      <c r="K15" s="29">
        <v>9893.66</v>
      </c>
      <c r="L15" s="29">
        <v>357.07</v>
      </c>
      <c r="M15" s="29">
        <v>1.699653200000057</v>
      </c>
      <c r="N15" s="29">
        <v>358.76965320000011</v>
      </c>
      <c r="O15" s="29">
        <v>9536.59</v>
      </c>
      <c r="P15" s="29">
        <v>9534.890346799999</v>
      </c>
      <c r="Q15" s="31">
        <v>9534.890346799999</v>
      </c>
      <c r="R15" s="32" t="s">
        <v>21</v>
      </c>
      <c r="S15" s="32" t="s">
        <v>23</v>
      </c>
    </row>
    <row r="16" spans="1:19" x14ac:dyDescent="0.25">
      <c r="A16" s="23"/>
      <c r="B16" s="24" t="s">
        <v>18</v>
      </c>
      <c r="C16" s="23">
        <v>0.2</v>
      </c>
      <c r="D16" s="25">
        <v>41364</v>
      </c>
      <c r="E16" s="25">
        <v>43038</v>
      </c>
      <c r="F16" s="26">
        <v>396.72</v>
      </c>
      <c r="G16" s="26">
        <v>21680.9712</v>
      </c>
      <c r="H16" s="27">
        <v>55.509</v>
      </c>
      <c r="I16" s="28">
        <v>33410549.276846301</v>
      </c>
      <c r="J16" s="28">
        <v>33703893.899497002</v>
      </c>
      <c r="K16" s="29">
        <v>4336.1899999999996</v>
      </c>
      <c r="L16" s="29">
        <v>79.34</v>
      </c>
      <c r="M16" s="29">
        <v>0.69660520000000759</v>
      </c>
      <c r="N16" s="29">
        <v>80.036605200000011</v>
      </c>
      <c r="O16" s="29">
        <v>4256.8499999999995</v>
      </c>
      <c r="P16" s="29">
        <v>4256.1533947999997</v>
      </c>
      <c r="Q16" s="31">
        <v>4256.1533947999997</v>
      </c>
      <c r="R16" s="32" t="s">
        <v>21</v>
      </c>
      <c r="S16" s="32" t="s">
        <v>24</v>
      </c>
    </row>
    <row r="17" spans="1:19" x14ac:dyDescent="0.25">
      <c r="A17" s="23"/>
      <c r="B17" s="24" t="s">
        <v>18</v>
      </c>
      <c r="C17" s="23">
        <v>0.20000066</v>
      </c>
      <c r="D17" s="25">
        <v>41364</v>
      </c>
      <c r="E17" s="25">
        <v>43041</v>
      </c>
      <c r="F17" s="26">
        <v>396.90109022640218</v>
      </c>
      <c r="G17" s="26">
        <v>24212.531398646381</v>
      </c>
      <c r="H17" s="27">
        <v>62.475000000000001</v>
      </c>
      <c r="I17" s="28">
        <v>33410549.276846301</v>
      </c>
      <c r="J17" s="28">
        <v>33804703.153433703</v>
      </c>
      <c r="K17" s="29">
        <v>4842.5200000000004</v>
      </c>
      <c r="L17" s="29">
        <v>79.38</v>
      </c>
      <c r="M17" s="29">
        <v>0.93668399999999963</v>
      </c>
      <c r="N17" s="29">
        <v>80.316683999999995</v>
      </c>
      <c r="O17" s="29">
        <v>4763.1400000000003</v>
      </c>
      <c r="P17" s="29">
        <v>4762.2033160000001</v>
      </c>
      <c r="Q17" s="31">
        <v>4762.2033160000001</v>
      </c>
      <c r="R17" s="32" t="s">
        <v>21</v>
      </c>
      <c r="S17" s="32" t="s">
        <v>24</v>
      </c>
    </row>
    <row r="18" spans="1:19" x14ac:dyDescent="0.25">
      <c r="A18" s="23"/>
      <c r="B18" s="24" t="s">
        <v>18</v>
      </c>
      <c r="C18" s="23">
        <v>0.17</v>
      </c>
      <c r="D18" s="25">
        <v>41364</v>
      </c>
      <c r="E18" s="25">
        <v>43059</v>
      </c>
      <c r="F18" s="26">
        <v>396.77364705882349</v>
      </c>
      <c r="G18" s="26">
        <v>28937.714117647061</v>
      </c>
      <c r="H18" s="27">
        <v>74.671000000000006</v>
      </c>
      <c r="I18" s="28">
        <v>33410549.276846301</v>
      </c>
      <c r="J18" s="28">
        <v>33804703.153433703</v>
      </c>
      <c r="K18" s="29">
        <v>4919.41</v>
      </c>
      <c r="L18" s="29">
        <v>67.45</v>
      </c>
      <c r="M18" s="29">
        <v>0.79591000000000633</v>
      </c>
      <c r="N18" s="29">
        <v>68.245910000000009</v>
      </c>
      <c r="O18" s="29">
        <v>4851.96</v>
      </c>
      <c r="P18" s="29">
        <v>4851.1640900000002</v>
      </c>
      <c r="Q18" s="31">
        <v>4851.1640900000002</v>
      </c>
      <c r="R18" s="32" t="s">
        <v>21</v>
      </c>
      <c r="S18" s="32" t="s">
        <v>24</v>
      </c>
    </row>
    <row r="19" spans="1:19" x14ac:dyDescent="0.25">
      <c r="A19" s="23"/>
      <c r="B19" s="24" t="s">
        <v>18</v>
      </c>
      <c r="C19" s="23">
        <v>1.5769982</v>
      </c>
      <c r="D19" s="25">
        <v>41364</v>
      </c>
      <c r="E19" s="25">
        <v>43067</v>
      </c>
      <c r="F19" s="26">
        <v>396.74647694588361</v>
      </c>
      <c r="G19" s="26">
        <v>35538.386505450668</v>
      </c>
      <c r="H19" s="27">
        <v>92.281999999999996</v>
      </c>
      <c r="I19" s="28">
        <v>33410549.276846301</v>
      </c>
      <c r="J19" s="28">
        <v>33804703.153433703</v>
      </c>
      <c r="K19" s="29">
        <v>56043.97</v>
      </c>
      <c r="L19" s="29">
        <v>625.66999999999996</v>
      </c>
      <c r="M19" s="29">
        <v>7.3829060000000482</v>
      </c>
      <c r="N19" s="29">
        <v>633.05290600000001</v>
      </c>
      <c r="O19" s="29">
        <v>55418.3</v>
      </c>
      <c r="P19" s="29">
        <v>55410.917093999997</v>
      </c>
      <c r="Q19" s="31">
        <v>55410.917093999997</v>
      </c>
      <c r="R19" s="32" t="s">
        <v>21</v>
      </c>
      <c r="S19" s="32" t="s">
        <v>24</v>
      </c>
    </row>
  </sheetData>
  <mergeCells count="7">
    <mergeCell ref="F7:G7"/>
    <mergeCell ref="F3:G3"/>
    <mergeCell ref="A2:D2"/>
    <mergeCell ref="F2:G2"/>
    <mergeCell ref="F4:G4"/>
    <mergeCell ref="F5:G5"/>
    <mergeCell ref="F6:G6"/>
  </mergeCells>
  <pageMargins left="0.23622047244094502" right="0.23622047244094502" top="0.74803149606299202" bottom="0.74803149606299202" header="0.31496062992126" footer="0.31496062992126"/>
  <pageSetup paperSize="9" scale="52" fitToHeight="0" orientation="portrait" cellComments="atEnd" verticalDpi="0" r:id="rId1"/>
  <headerFooter>
    <oddHeader>&amp;C&amp;"David,מודגש"נספח לטופס רווח הון בגין מכירת מטבעות וירטואליים לשנת&amp;L&amp;D&amp;R&amp;"David,מודגש"שם:</oddHeader>
    <oddFooter>&amp;C&amp;"David,מודגש"&amp;P&amp;R&amp;"David,רגיל"רווחים אלו חושבו לפי שיטת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</vt:i4>
      </vt:variant>
      <vt:variant>
        <vt:lpstr>טווחים בעלי שם</vt:lpstr>
      </vt:variant>
      <vt:variant>
        <vt:i4>1</vt:i4>
      </vt:variant>
    </vt:vector>
  </HeadingPairs>
  <TitlesOfParts>
    <vt:vector size="2" baseType="lpstr">
      <vt:lpstr>Sheet1</vt:lpstr>
      <vt:lpstr>Sheet1!WPrint_TitlesW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Yuval</cp:lastModifiedBy>
  <dcterms:created xsi:type="dcterms:W3CDTF">2020-05-07T09:29:37Z</dcterms:created>
  <dcterms:modified xsi:type="dcterms:W3CDTF">2020-05-07T09:39:50Z</dcterms:modified>
</cp:coreProperties>
</file>