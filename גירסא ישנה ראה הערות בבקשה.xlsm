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C:\Users\Ronit\Downloads\"/>
    </mc:Choice>
  </mc:AlternateContent>
  <bookViews>
    <workbookView xWindow="-120" yWindow="-120" windowWidth="29040" windowHeight="15840"/>
  </bookViews>
  <sheets>
    <sheet name="Sheet1" sheetId="1" r:id="rId1"/>
  </sheets>
  <definedNames>
    <definedName name="_xlnm.Print_Titles" localSheetId="0">Sheet1!$12:$12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1" l="1"/>
  <c r="F4" i="1"/>
  <c r="F5" i="1"/>
  <c r="F3" i="1"/>
</calcChain>
</file>

<file path=xl/comments1.xml><?xml version="1.0" encoding="utf-8"?>
<comments xmlns="http://schemas.openxmlformats.org/spreadsheetml/2006/main">
  <authors>
    <author>Tal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Tal:</t>
        </r>
        <r>
          <rPr>
            <sz val="9"/>
            <color indexed="81"/>
            <rFont val="Tahoma"/>
            <family val="2"/>
          </rPr>
          <t xml:space="preserve">
בכותרת המסמך ניתן ע"פ תאריך מכירה שיוסיף את שנת המס הרלוונטית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Tal:</t>
        </r>
        <r>
          <rPr>
            <sz val="9"/>
            <color indexed="81"/>
            <rFont val="Tahoma"/>
            <family val="2"/>
          </rPr>
          <t xml:space="preserve">
נא לשנות מלל "ריכוז סעיפים בש"ח"
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Tal:</t>
        </r>
        <r>
          <rPr>
            <sz val="9"/>
            <color indexed="81"/>
            <rFont val="Tahoma"/>
            <family val="2"/>
          </rPr>
          <t xml:space="preserve">
נא לשנות מלל ל"תמורה כוללת בש"ח"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Tal:jחסר המשך מיספור , נגמר ב2?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</rPr>
          <t>Tal:</t>
        </r>
        <r>
          <rPr>
            <sz val="9"/>
            <color indexed="81"/>
            <rFont val="Tahoma"/>
            <family val="2"/>
          </rPr>
          <t xml:space="preserve">
תור מיותר יש להוריד</t>
        </r>
      </text>
    </comment>
    <comment ref="K12" authorId="0" shapeId="0">
      <text>
        <r>
          <rPr>
            <b/>
            <sz val="9"/>
            <color indexed="81"/>
            <rFont val="Tahoma"/>
            <family val="2"/>
          </rPr>
          <t>Tal:</t>
        </r>
        <r>
          <rPr>
            <sz val="9"/>
            <color indexed="81"/>
            <rFont val="Tahoma"/>
            <family val="2"/>
          </rPr>
          <t xml:space="preserve">
נא לשנות כותרת "
"ל"תמורה בש"ח"</t>
        </r>
      </text>
    </comment>
  </commentList>
</comments>
</file>

<file path=xl/sharedStrings.xml><?xml version="1.0" encoding="utf-8"?>
<sst xmlns="http://schemas.openxmlformats.org/spreadsheetml/2006/main" count="40" uniqueCount="38">
  <si>
    <t>מטבע</t>
  </si>
  <si>
    <t>כמות</t>
  </si>
  <si>
    <t>תאריך רכישה</t>
  </si>
  <si>
    <t>תאריך מכירה</t>
  </si>
  <si>
    <t>מחיר קניה</t>
  </si>
  <si>
    <t>מחיר מכירה</t>
  </si>
  <si>
    <t>מדד רכישה (לפי בסיס 51)</t>
  </si>
  <si>
    <t>מדד מכירה (לפי בסיס 51)</t>
  </si>
  <si>
    <t>תמורה בשקלים-שוי עסקת ברטר</t>
  </si>
  <si>
    <t>עלות מקורית נומינאלית</t>
  </si>
  <si>
    <t>סכום אינפלציוני</t>
  </si>
  <si>
    <t>עלות מקורית מתואמת</t>
  </si>
  <si>
    <t>רווח/הפסד נומינאלי</t>
  </si>
  <si>
    <t>רווח-הפסד ריאלי</t>
  </si>
  <si>
    <t>רווח-הפסד לצורכי מס</t>
  </si>
  <si>
    <t>BAT</t>
  </si>
  <si>
    <t>ETP</t>
  </si>
  <si>
    <t>FUN</t>
  </si>
  <si>
    <t>GNT</t>
  </si>
  <si>
    <t>IOT</t>
  </si>
  <si>
    <t>LTC</t>
  </si>
  <si>
    <t>MNA</t>
  </si>
  <si>
    <t>OMG</t>
  </si>
  <si>
    <t>QSH</t>
  </si>
  <si>
    <t>SNT</t>
  </si>
  <si>
    <t>SPK</t>
  </si>
  <si>
    <t>ZRX</t>
  </si>
  <si>
    <t>רווח והפסד שולי</t>
  </si>
  <si>
    <t>עסקה</t>
  </si>
  <si>
    <t>ריכו סעיפים בשקלים/שוי עסקאות ברטר</t>
  </si>
  <si>
    <t>עלות מחיר מקורי</t>
  </si>
  <si>
    <t>רווח/הפסד לצורכי מס</t>
  </si>
  <si>
    <t>הוצאות הקשורות במכירה שלא הופחתו מן התמורה</t>
  </si>
  <si>
    <t>רווח/הפסד לייחוס</t>
  </si>
  <si>
    <t>שדה</t>
  </si>
  <si>
    <t>סכום</t>
  </si>
  <si>
    <t>תמורה כוללת בשקלים/שוי עסקאות ברטר</t>
  </si>
  <si>
    <t>21א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</si>
</sst>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 &quot;₪&quot;\ * #,##0.00_ ;_ &quot;₪&quot;\ * \-#,##0.00_ ;_ &quot;₪&quot;\ * &quot;-&quot;??_ ;_ @_ "/>
    <numFmt numFmtId="43" formatCode="_ * #,##0.00_ ;_ * \-#,##0.00_ ;_ * &quot;-&quot;??_ ;_ @_ "/>
    <numFmt numFmtId="164" formatCode="yyyy\-mm\-dd"/>
    <numFmt numFmtId="165" formatCode="_ &quot;₪&quot;\ * #,##0.0_ ;_ &quot;₪&quot;\ * \-#,##0.0_ ;_ &quot;₪&quot;\ * &quot;-&quot;??_ ;_ @_ "/>
    <numFmt numFmtId="166" formatCode="_ * #,##0_ ;_ * \-#,##0_ ;_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David"/>
      <family val="2"/>
    </font>
    <font>
      <sz val="11"/>
      <color theme="1"/>
      <name val="David"/>
      <family val="2"/>
    </font>
    <font>
      <b/>
      <sz val="10"/>
      <color theme="1"/>
      <name val="David"/>
      <family val="2"/>
    </font>
    <font>
      <sz val="10"/>
      <color theme="1"/>
      <name val="David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center" wrapText="1"/>
    </xf>
    <xf numFmtId="0" fontId="3" fillId="0" borderId="0" xfId="0" applyFont="1"/>
    <xf numFmtId="44" fontId="3" fillId="0" borderId="0" xfId="2" applyFont="1"/>
    <xf numFmtId="9" fontId="3" fillId="0" borderId="0" xfId="3" applyFont="1" applyAlignment="1">
      <alignment horizontal="right"/>
    </xf>
    <xf numFmtId="166" fontId="3" fillId="0" borderId="0" xfId="1" applyNumberFormat="1" applyFont="1"/>
    <xf numFmtId="165" fontId="3" fillId="0" borderId="0" xfId="2" applyNumberFormat="1" applyFont="1"/>
    <xf numFmtId="0" fontId="5" fillId="0" borderId="0" xfId="0" applyFont="1" applyAlignment="1">
      <alignment horizontal="right"/>
    </xf>
    <xf numFmtId="0" fontId="2" fillId="0" borderId="0" xfId="0" applyFont="1"/>
    <xf numFmtId="0" fontId="2" fillId="0" borderId="4" xfId="0" applyFont="1" applyBorder="1"/>
    <xf numFmtId="0" fontId="2" fillId="0" borderId="2" xfId="0" applyFont="1" applyBorder="1"/>
    <xf numFmtId="0" fontId="4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6" xfId="0" applyFont="1" applyBorder="1"/>
    <xf numFmtId="0" fontId="4" fillId="0" borderId="7" xfId="0" applyFont="1" applyBorder="1" applyAlignment="1">
      <alignment horizontal="right"/>
    </xf>
    <xf numFmtId="0" fontId="2" fillId="0" borderId="7" xfId="0" applyFont="1" applyBorder="1"/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right"/>
    </xf>
    <xf numFmtId="0" fontId="2" fillId="0" borderId="12" xfId="0" applyFont="1" applyBorder="1" applyAlignment="1">
      <alignment horizontal="center" wrapText="1"/>
    </xf>
    <xf numFmtId="44" fontId="2" fillId="0" borderId="12" xfId="2" applyFont="1" applyBorder="1" applyAlignment="1">
      <alignment horizontal="center" wrapText="1"/>
    </xf>
    <xf numFmtId="9" fontId="2" fillId="0" borderId="12" xfId="3" applyFont="1" applyBorder="1" applyAlignment="1">
      <alignment horizontal="center" wrapText="1"/>
    </xf>
    <xf numFmtId="166" fontId="2" fillId="0" borderId="12" xfId="1" applyNumberFormat="1" applyFont="1" applyBorder="1" applyAlignment="1">
      <alignment horizontal="center" wrapText="1"/>
    </xf>
    <xf numFmtId="165" fontId="2" fillId="0" borderId="12" xfId="2" applyNumberFormat="1" applyFont="1" applyBorder="1" applyAlignment="1">
      <alignment horizontal="center" wrapText="1"/>
    </xf>
    <xf numFmtId="0" fontId="3" fillId="0" borderId="1" xfId="0" applyFont="1" applyBorder="1"/>
    <xf numFmtId="0" fontId="5" fillId="0" borderId="1" xfId="0" applyFont="1" applyBorder="1" applyAlignment="1">
      <alignment horizontal="right"/>
    </xf>
    <xf numFmtId="164" fontId="3" fillId="0" borderId="1" xfId="0" applyNumberFormat="1" applyFont="1" applyBorder="1"/>
    <xf numFmtId="44" fontId="3" fillId="0" borderId="1" xfId="2" applyFont="1" applyBorder="1"/>
    <xf numFmtId="9" fontId="3" fillId="0" borderId="1" xfId="3" applyFont="1" applyBorder="1" applyAlignment="1">
      <alignment horizontal="right"/>
    </xf>
    <xf numFmtId="166" fontId="3" fillId="0" borderId="1" xfId="1" applyNumberFormat="1" applyFont="1" applyBorder="1"/>
    <xf numFmtId="165" fontId="3" fillId="0" borderId="1" xfId="2" applyNumberFormat="1" applyFont="1" applyBorder="1"/>
    <xf numFmtId="166" fontId="3" fillId="0" borderId="1" xfId="1" applyNumberFormat="1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44" fontId="2" fillId="0" borderId="3" xfId="2" applyFont="1" applyBorder="1" applyAlignment="1">
      <alignment horizontal="center"/>
    </xf>
    <xf numFmtId="44" fontId="2" fillId="0" borderId="11" xfId="2" applyFont="1" applyBorder="1" applyAlignment="1">
      <alignment horizontal="center"/>
    </xf>
    <xf numFmtId="44" fontId="3" fillId="0" borderId="2" xfId="2" applyFont="1" applyBorder="1" applyAlignment="1">
      <alignment horizontal="right"/>
    </xf>
    <xf numFmtId="44" fontId="3" fillId="0" borderId="8" xfId="2" applyFont="1" applyBorder="1" applyAlignment="1">
      <alignment horizontal="right"/>
    </xf>
    <xf numFmtId="44" fontId="3" fillId="0" borderId="6" xfId="2" applyFont="1" applyBorder="1" applyAlignment="1">
      <alignment horizontal="right"/>
    </xf>
    <xf numFmtId="44" fontId="3" fillId="0" borderId="9" xfId="2" applyFont="1" applyBorder="1" applyAlignment="1">
      <alignment horizontal="right"/>
    </xf>
    <xf numFmtId="44" fontId="3" fillId="0" borderId="3" xfId="2" applyFont="1" applyBorder="1" applyAlignment="1">
      <alignment horizontal="right"/>
    </xf>
    <xf numFmtId="44" fontId="3" fillId="0" borderId="11" xfId="2" applyFont="1" applyBorder="1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Q26"/>
  <sheetViews>
    <sheetView rightToLeft="1" tabSelected="1" view="pageLayout" topLeftCell="A7" zoomScaleNormal="100" workbookViewId="0">
      <selection activeCell="K12" sqref="K12"/>
    </sheetView>
  </sheetViews>
  <sheetFormatPr defaultColWidth="9" defaultRowHeight="15" x14ac:dyDescent="0.25"/>
  <cols>
    <col min="1" max="1" width="9" style="2"/>
    <col min="2" max="2" width="5.28515625" style="7" bestFit="1" customWidth="1"/>
    <col min="3" max="3" width="11.85546875" style="2" bestFit="1" customWidth="1"/>
    <col min="4" max="5" width="10.140625" style="2" bestFit="1" customWidth="1"/>
    <col min="6" max="7" width="11.85546875" style="3" bestFit="1" customWidth="1"/>
    <col min="8" max="8" width="6.28515625" style="4" bestFit="1" customWidth="1"/>
    <col min="9" max="9" width="10.85546875" style="5" bestFit="1" customWidth="1"/>
    <col min="10" max="10" width="11.42578125" style="5" bestFit="1" customWidth="1"/>
    <col min="11" max="11" width="10.42578125" style="6" bestFit="1" customWidth="1"/>
    <col min="12" max="12" width="9.85546875" style="6" bestFit="1" customWidth="1"/>
    <col min="13" max="13" width="8.85546875" style="6" bestFit="1" customWidth="1"/>
    <col min="14" max="14" width="9.85546875" style="6" bestFit="1" customWidth="1"/>
    <col min="15" max="17" width="10.42578125" style="6" bestFit="1" customWidth="1"/>
    <col min="18" max="16384" width="9" style="2"/>
  </cols>
  <sheetData>
    <row r="1" spans="1:17" ht="15.75" thickBot="1" x14ac:dyDescent="0.3"/>
    <row r="2" spans="1:17" ht="15.75" thickBot="1" x14ac:dyDescent="0.3">
      <c r="A2" s="31" t="s">
        <v>29</v>
      </c>
      <c r="B2" s="32"/>
      <c r="C2" s="32"/>
      <c r="D2" s="32"/>
      <c r="E2" s="9" t="s">
        <v>34</v>
      </c>
      <c r="F2" s="33" t="s">
        <v>35</v>
      </c>
      <c r="G2" s="34"/>
    </row>
    <row r="3" spans="1:17" x14ac:dyDescent="0.25">
      <c r="A3" s="17" t="s">
        <v>36</v>
      </c>
      <c r="B3" s="16"/>
      <c r="C3" s="16"/>
      <c r="D3" s="16"/>
      <c r="E3" s="10">
        <v>15</v>
      </c>
      <c r="F3" s="39">
        <f>SUM(K:K)</f>
        <v>6881.47</v>
      </c>
      <c r="G3" s="40"/>
    </row>
    <row r="4" spans="1:17" x14ac:dyDescent="0.25">
      <c r="A4" s="10" t="s">
        <v>30</v>
      </c>
      <c r="B4" s="11"/>
      <c r="C4" s="12"/>
      <c r="D4" s="12"/>
      <c r="E4" s="10">
        <v>20</v>
      </c>
      <c r="F4" s="35">
        <f>F3-F5</f>
        <v>13989.049504000002</v>
      </c>
      <c r="G4" s="36"/>
    </row>
    <row r="5" spans="1:17" x14ac:dyDescent="0.25">
      <c r="A5" s="10" t="s">
        <v>31</v>
      </c>
      <c r="B5" s="11"/>
      <c r="C5" s="12"/>
      <c r="D5" s="12"/>
      <c r="E5" s="10"/>
      <c r="F5" s="35">
        <f>SUM(Q:Q)</f>
        <v>-7107.5795040000012</v>
      </c>
      <c r="G5" s="36"/>
    </row>
    <row r="6" spans="1:17" x14ac:dyDescent="0.25">
      <c r="A6" s="10" t="s">
        <v>32</v>
      </c>
      <c r="B6" s="11"/>
      <c r="C6" s="12"/>
      <c r="D6" s="12"/>
      <c r="E6" s="10">
        <v>55</v>
      </c>
      <c r="F6" s="35"/>
      <c r="G6" s="36"/>
    </row>
    <row r="7" spans="1:17" ht="15.75" thickBot="1" x14ac:dyDescent="0.3">
      <c r="A7" s="13" t="s">
        <v>33</v>
      </c>
      <c r="B7" s="14"/>
      <c r="C7" s="15"/>
      <c r="D7" s="15"/>
      <c r="E7" s="13" t="s">
        <v>37</v>
      </c>
      <c r="F7" s="37">
        <f>F5-F6</f>
        <v>-7107.5795040000012</v>
      </c>
      <c r="G7" s="38"/>
    </row>
    <row r="8" spans="1:17" x14ac:dyDescent="0.25">
      <c r="A8" s="8"/>
    </row>
    <row r="12" spans="1:17" s="1" customFormat="1" ht="60" x14ac:dyDescent="0.25">
      <c r="A12" s="18" t="s">
        <v>28</v>
      </c>
      <c r="B12" s="18" t="s">
        <v>0</v>
      </c>
      <c r="C12" s="18" t="s">
        <v>1</v>
      </c>
      <c r="D12" s="18" t="s">
        <v>2</v>
      </c>
      <c r="E12" s="18" t="s">
        <v>3</v>
      </c>
      <c r="F12" s="19" t="s">
        <v>4</v>
      </c>
      <c r="G12" s="19" t="s">
        <v>5</v>
      </c>
      <c r="H12" s="20" t="s">
        <v>27</v>
      </c>
      <c r="I12" s="21" t="s">
        <v>6</v>
      </c>
      <c r="J12" s="21" t="s">
        <v>7</v>
      </c>
      <c r="K12" s="22" t="s">
        <v>8</v>
      </c>
      <c r="L12" s="22" t="s">
        <v>9</v>
      </c>
      <c r="M12" s="22" t="s">
        <v>10</v>
      </c>
      <c r="N12" s="22" t="s">
        <v>11</v>
      </c>
      <c r="O12" s="22" t="s">
        <v>12</v>
      </c>
      <c r="P12" s="22" t="s">
        <v>13</v>
      </c>
      <c r="Q12" s="22" t="s">
        <v>14</v>
      </c>
    </row>
    <row r="13" spans="1:17" x14ac:dyDescent="0.25">
      <c r="A13" s="23">
        <v>1</v>
      </c>
      <c r="B13" s="24" t="s">
        <v>15</v>
      </c>
      <c r="C13" s="23">
        <v>100</v>
      </c>
      <c r="D13" s="25">
        <v>43344</v>
      </c>
      <c r="E13" s="25">
        <v>43125</v>
      </c>
      <c r="F13" s="26">
        <v>2.9205000000000001</v>
      </c>
      <c r="G13" s="26">
        <v>1.8455999999999999</v>
      </c>
      <c r="H13" s="27">
        <v>-0.36799999999999999</v>
      </c>
      <c r="I13" s="30">
        <v>34107130.9152437</v>
      </c>
      <c r="J13" s="28">
        <v>33569481.560914703</v>
      </c>
      <c r="K13" s="29">
        <v>184.56</v>
      </c>
      <c r="L13" s="29">
        <v>292.05</v>
      </c>
      <c r="M13" s="29">
        <v>0</v>
      </c>
      <c r="N13" s="29">
        <v>292.05</v>
      </c>
      <c r="O13" s="29">
        <v>-107.49</v>
      </c>
      <c r="P13" s="29">
        <v>-107.49</v>
      </c>
      <c r="Q13" s="29">
        <v>-107.49</v>
      </c>
    </row>
    <row r="14" spans="1:17" x14ac:dyDescent="0.25">
      <c r="A14" s="23">
        <v>2</v>
      </c>
      <c r="B14" s="24" t="s">
        <v>16</v>
      </c>
      <c r="C14" s="23">
        <v>182.37607270000001</v>
      </c>
      <c r="D14" s="25">
        <v>43089</v>
      </c>
      <c r="E14" s="25">
        <v>43125</v>
      </c>
      <c r="F14" s="26">
        <v>13.63298355530385</v>
      </c>
      <c r="G14" s="26">
        <v>8.45746910307275</v>
      </c>
      <c r="H14" s="27">
        <v>-0.38</v>
      </c>
      <c r="I14" s="28">
        <v>33737496.984142497</v>
      </c>
      <c r="J14" s="28">
        <v>33569481.560914703</v>
      </c>
      <c r="K14" s="29">
        <v>1542.44</v>
      </c>
      <c r="L14" s="29">
        <v>2486.33</v>
      </c>
      <c r="M14" s="29">
        <v>0</v>
      </c>
      <c r="N14" s="29">
        <v>2486.33</v>
      </c>
      <c r="O14" s="29">
        <v>-943.8900000000001</v>
      </c>
      <c r="P14" s="29">
        <v>-943.8900000000001</v>
      </c>
      <c r="Q14" s="29">
        <v>-943.8900000000001</v>
      </c>
    </row>
    <row r="15" spans="1:17" x14ac:dyDescent="0.25">
      <c r="A15" s="23"/>
      <c r="B15" s="24" t="s">
        <v>17</v>
      </c>
      <c r="C15" s="23">
        <v>199.8</v>
      </c>
      <c r="D15" s="25">
        <v>43344</v>
      </c>
      <c r="E15" s="25">
        <v>43125</v>
      </c>
      <c r="F15" s="26">
        <v>0.6191191191191191</v>
      </c>
      <c r="G15" s="26">
        <v>0.3468968968968969</v>
      </c>
      <c r="H15" s="27">
        <v>-0.44</v>
      </c>
      <c r="I15" s="28">
        <v>34107130.9152437</v>
      </c>
      <c r="J15" s="28">
        <v>33569481.560914703</v>
      </c>
      <c r="K15" s="29">
        <v>69.31</v>
      </c>
      <c r="L15" s="29">
        <v>123.7</v>
      </c>
      <c r="M15" s="29">
        <v>0</v>
      </c>
      <c r="N15" s="29">
        <v>123.7</v>
      </c>
      <c r="O15" s="29">
        <v>-54.39</v>
      </c>
      <c r="P15" s="29">
        <v>-54.39</v>
      </c>
      <c r="Q15" s="29">
        <v>-54.39</v>
      </c>
    </row>
    <row r="16" spans="1:17" x14ac:dyDescent="0.25">
      <c r="A16" s="23"/>
      <c r="B16" s="24" t="s">
        <v>18</v>
      </c>
      <c r="C16" s="23">
        <v>830</v>
      </c>
      <c r="D16" s="25">
        <v>43097</v>
      </c>
      <c r="E16" s="25">
        <v>43432</v>
      </c>
      <c r="F16" s="26">
        <v>2.9404819277108429</v>
      </c>
      <c r="G16" s="26">
        <v>0.33624096385542168</v>
      </c>
      <c r="H16" s="27">
        <v>-0.88600000000000001</v>
      </c>
      <c r="I16" s="28">
        <v>33737496.984142497</v>
      </c>
      <c r="J16" s="28">
        <v>34107130.9152437</v>
      </c>
      <c r="K16" s="29">
        <v>279.08</v>
      </c>
      <c r="L16" s="29">
        <v>2440.6</v>
      </c>
      <c r="M16" s="29">
        <v>26.748976000000312</v>
      </c>
      <c r="N16" s="29">
        <v>2467.3489760000002</v>
      </c>
      <c r="O16" s="29">
        <v>-2161.52</v>
      </c>
      <c r="P16" s="29">
        <v>-2188.2689759999998</v>
      </c>
      <c r="Q16" s="29">
        <v>-2161.52</v>
      </c>
    </row>
    <row r="17" spans="1:17" x14ac:dyDescent="0.25">
      <c r="A17" s="23"/>
      <c r="B17" s="24" t="s">
        <v>19</v>
      </c>
      <c r="C17" s="23">
        <v>200</v>
      </c>
      <c r="D17" s="25">
        <v>43089</v>
      </c>
      <c r="E17" s="25">
        <v>43125</v>
      </c>
      <c r="F17" s="26">
        <v>16.762899999999998</v>
      </c>
      <c r="G17" s="26">
        <v>8.2464000000000013</v>
      </c>
      <c r="H17" s="27">
        <v>-0.50800000000000001</v>
      </c>
      <c r="I17" s="28">
        <v>33737496.984142497</v>
      </c>
      <c r="J17" s="28">
        <v>33569481.560914703</v>
      </c>
      <c r="K17" s="29">
        <v>1649.28</v>
      </c>
      <c r="L17" s="29">
        <v>3352.58</v>
      </c>
      <c r="M17" s="29">
        <v>0</v>
      </c>
      <c r="N17" s="29">
        <v>3352.58</v>
      </c>
      <c r="O17" s="29">
        <v>-1703.3</v>
      </c>
      <c r="P17" s="29">
        <v>-1703.3</v>
      </c>
      <c r="Q17" s="29">
        <v>-1703.3</v>
      </c>
    </row>
    <row r="18" spans="1:17" x14ac:dyDescent="0.25">
      <c r="A18" s="23"/>
      <c r="B18" s="24" t="s">
        <v>20</v>
      </c>
      <c r="C18" s="23">
        <v>3.6092979999999997E-2</v>
      </c>
      <c r="D18" s="25">
        <v>42747</v>
      </c>
      <c r="E18" s="25">
        <v>43432</v>
      </c>
      <c r="F18" s="26">
        <v>342.17180182960789</v>
      </c>
      <c r="G18" s="26">
        <v>131.32747697751751</v>
      </c>
      <c r="H18" s="27">
        <v>-0.61599999999999999</v>
      </c>
      <c r="I18" s="28">
        <v>33535878.4762692</v>
      </c>
      <c r="J18" s="28">
        <v>34107130.9152437</v>
      </c>
      <c r="K18" s="29">
        <v>4.74</v>
      </c>
      <c r="L18" s="29">
        <v>12.35</v>
      </c>
      <c r="M18" s="29">
        <v>0.21032050000000169</v>
      </c>
      <c r="N18" s="29">
        <v>12.5603205</v>
      </c>
      <c r="O18" s="29">
        <v>-7.6099999999999994</v>
      </c>
      <c r="P18" s="29">
        <v>-7.8203205000000011</v>
      </c>
      <c r="Q18" s="29">
        <v>-7.6099999999999994</v>
      </c>
    </row>
    <row r="19" spans="1:17" x14ac:dyDescent="0.25">
      <c r="A19" s="23"/>
      <c r="B19" s="24" t="s">
        <v>20</v>
      </c>
      <c r="C19" s="23">
        <v>0.52375804000000004</v>
      </c>
      <c r="D19" s="25">
        <v>43088</v>
      </c>
      <c r="E19" s="25">
        <v>43432</v>
      </c>
      <c r="F19" s="26">
        <v>1222.7019942261891</v>
      </c>
      <c r="G19" s="26">
        <v>130.95741690189621</v>
      </c>
      <c r="H19" s="27">
        <v>-0.89300000000000002</v>
      </c>
      <c r="I19" s="28">
        <v>33737496.984142497</v>
      </c>
      <c r="J19" s="28">
        <v>34107130.9152437</v>
      </c>
      <c r="K19" s="29">
        <v>68.59</v>
      </c>
      <c r="L19" s="29">
        <v>640.4</v>
      </c>
      <c r="M19" s="29">
        <v>7.0187840000000961</v>
      </c>
      <c r="N19" s="29">
        <v>647.41878400000007</v>
      </c>
      <c r="O19" s="29">
        <v>-571.80999999999995</v>
      </c>
      <c r="P19" s="29">
        <v>-578.82878400000004</v>
      </c>
      <c r="Q19" s="29">
        <v>-571.80999999999995</v>
      </c>
    </row>
    <row r="20" spans="1:17" x14ac:dyDescent="0.25">
      <c r="A20" s="23"/>
      <c r="B20" s="24" t="s">
        <v>21</v>
      </c>
      <c r="C20" s="23">
        <v>300</v>
      </c>
      <c r="D20" s="25">
        <v>43344</v>
      </c>
      <c r="E20" s="25">
        <v>43125</v>
      </c>
      <c r="F20" s="26">
        <v>0.85893333333333333</v>
      </c>
      <c r="G20" s="26">
        <v>0.4929</v>
      </c>
      <c r="H20" s="27">
        <v>-0.42599999999999999</v>
      </c>
      <c r="I20" s="28">
        <v>34107130.9152437</v>
      </c>
      <c r="J20" s="28">
        <v>33569481.560914703</v>
      </c>
      <c r="K20" s="29">
        <v>147.87</v>
      </c>
      <c r="L20" s="29">
        <v>257.68</v>
      </c>
      <c r="M20" s="29">
        <v>0</v>
      </c>
      <c r="N20" s="29">
        <v>257.68</v>
      </c>
      <c r="O20" s="29">
        <v>-109.81</v>
      </c>
      <c r="P20" s="29">
        <v>-109.81</v>
      </c>
      <c r="Q20" s="29">
        <v>-109.81</v>
      </c>
    </row>
    <row r="21" spans="1:17" x14ac:dyDescent="0.25">
      <c r="A21" s="23"/>
      <c r="B21" s="24" t="s">
        <v>22</v>
      </c>
      <c r="C21" s="23">
        <v>10</v>
      </c>
      <c r="D21" s="25">
        <v>43088</v>
      </c>
      <c r="E21" s="25">
        <v>43344</v>
      </c>
      <c r="F21" s="26">
        <v>67.239999999999995</v>
      </c>
      <c r="G21" s="26">
        <v>85.034999999999997</v>
      </c>
      <c r="H21" s="27">
        <v>0.26500000000000001</v>
      </c>
      <c r="I21" s="28">
        <v>33737496.984142497</v>
      </c>
      <c r="J21" s="28">
        <v>34107130.9152437</v>
      </c>
      <c r="K21" s="29">
        <v>850.35</v>
      </c>
      <c r="L21" s="29">
        <v>672.4</v>
      </c>
      <c r="M21" s="29">
        <v>7.3695040000000063</v>
      </c>
      <c r="N21" s="29">
        <v>679.76950399999998</v>
      </c>
      <c r="O21" s="29">
        <v>177.95</v>
      </c>
      <c r="P21" s="29">
        <v>170.58049600000001</v>
      </c>
      <c r="Q21" s="29">
        <v>170.58049600000001</v>
      </c>
    </row>
    <row r="22" spans="1:17" x14ac:dyDescent="0.25">
      <c r="A22" s="23"/>
      <c r="B22" s="24" t="s">
        <v>23</v>
      </c>
      <c r="C22" s="23">
        <v>0.08</v>
      </c>
      <c r="D22" s="25">
        <v>43089</v>
      </c>
      <c r="E22" s="25">
        <v>43125</v>
      </c>
      <c r="F22" s="26">
        <v>3.375</v>
      </c>
      <c r="G22" s="26">
        <v>5</v>
      </c>
      <c r="H22" s="27">
        <v>0.48099999999999998</v>
      </c>
      <c r="I22" s="28">
        <v>33737496.984142497</v>
      </c>
      <c r="J22" s="28">
        <v>33569481.560914703</v>
      </c>
      <c r="K22" s="29">
        <v>0.4</v>
      </c>
      <c r="L22" s="29">
        <v>0.27</v>
      </c>
      <c r="M22" s="29">
        <v>0</v>
      </c>
      <c r="N22" s="29">
        <v>0.27</v>
      </c>
      <c r="O22" s="29">
        <v>0.13</v>
      </c>
      <c r="P22" s="29">
        <v>0.13</v>
      </c>
      <c r="Q22" s="29">
        <v>0.13</v>
      </c>
    </row>
    <row r="23" spans="1:17" x14ac:dyDescent="0.25">
      <c r="A23" s="23"/>
      <c r="B23" s="24" t="s">
        <v>23</v>
      </c>
      <c r="C23" s="23">
        <v>310.90278388000002</v>
      </c>
      <c r="D23" s="25">
        <v>43090</v>
      </c>
      <c r="E23" s="25">
        <v>43125</v>
      </c>
      <c r="F23" s="26">
        <v>3.4522688623279492</v>
      </c>
      <c r="G23" s="26">
        <v>5.0248183065577763</v>
      </c>
      <c r="H23" s="27">
        <v>0.45600000000000002</v>
      </c>
      <c r="I23" s="28">
        <v>33737496.984142497</v>
      </c>
      <c r="J23" s="28">
        <v>33569481.560914703</v>
      </c>
      <c r="K23" s="29">
        <v>1562.23</v>
      </c>
      <c r="L23" s="29">
        <v>1073.32</v>
      </c>
      <c r="M23" s="29">
        <v>0</v>
      </c>
      <c r="N23" s="29">
        <v>1073.32</v>
      </c>
      <c r="O23" s="29">
        <v>488.91000000000008</v>
      </c>
      <c r="P23" s="29">
        <v>488.91000000000008</v>
      </c>
      <c r="Q23" s="29">
        <v>488.91000000000008</v>
      </c>
    </row>
    <row r="24" spans="1:17" x14ac:dyDescent="0.25">
      <c r="A24" s="23"/>
      <c r="B24" s="24" t="s">
        <v>24</v>
      </c>
      <c r="C24" s="23">
        <v>4878.2354800000003</v>
      </c>
      <c r="D24" s="25">
        <v>43097</v>
      </c>
      <c r="E24" s="25">
        <v>43432</v>
      </c>
      <c r="F24" s="26">
        <v>0.50339923319978797</v>
      </c>
      <c r="G24" s="26">
        <v>7.6845408864928341E-2</v>
      </c>
      <c r="H24" s="27">
        <v>-0.84699999999999998</v>
      </c>
      <c r="I24" s="28">
        <v>33737496.984142497</v>
      </c>
      <c r="J24" s="28">
        <v>34107130.9152437</v>
      </c>
      <c r="K24" s="29">
        <v>374.87</v>
      </c>
      <c r="L24" s="29">
        <v>2455.6999999999998</v>
      </c>
      <c r="M24" s="29">
        <v>26.914472000000391</v>
      </c>
      <c r="N24" s="29">
        <v>2482.6144720000002</v>
      </c>
      <c r="O24" s="29">
        <v>-2080.83</v>
      </c>
      <c r="P24" s="29">
        <v>-2107.7444719999999</v>
      </c>
      <c r="Q24" s="29">
        <v>-2080.83</v>
      </c>
    </row>
    <row r="25" spans="1:17" x14ac:dyDescent="0.25">
      <c r="A25" s="23"/>
      <c r="B25" s="24" t="s">
        <v>25</v>
      </c>
      <c r="C25" s="23">
        <v>57.351570610000003</v>
      </c>
      <c r="D25" s="25">
        <v>43344</v>
      </c>
      <c r="E25" s="25">
        <v>43125</v>
      </c>
      <c r="F25" s="26">
        <v>1.6852197589711311</v>
      </c>
      <c r="G25" s="26">
        <v>1.490630493475861</v>
      </c>
      <c r="H25" s="27">
        <v>-0.115</v>
      </c>
      <c r="I25" s="28">
        <v>34107130.9152437</v>
      </c>
      <c r="J25" s="28">
        <v>33569481.560914703</v>
      </c>
      <c r="K25" s="29">
        <v>85.49</v>
      </c>
      <c r="L25" s="29">
        <v>96.65</v>
      </c>
      <c r="M25" s="29">
        <v>0</v>
      </c>
      <c r="N25" s="29">
        <v>96.65</v>
      </c>
      <c r="O25" s="29">
        <v>-11.160000000000011</v>
      </c>
      <c r="P25" s="29">
        <v>-11.160000000000011</v>
      </c>
      <c r="Q25" s="29">
        <v>-11.160000000000011</v>
      </c>
    </row>
    <row r="26" spans="1:17" x14ac:dyDescent="0.25">
      <c r="A26" s="23"/>
      <c r="B26" s="24" t="s">
        <v>26</v>
      </c>
      <c r="C26" s="23">
        <v>10</v>
      </c>
      <c r="D26" s="25">
        <v>43344</v>
      </c>
      <c r="E26" s="25">
        <v>43129</v>
      </c>
      <c r="F26" s="26">
        <v>7.7650000000000006</v>
      </c>
      <c r="G26" s="26">
        <v>6.226</v>
      </c>
      <c r="H26" s="27">
        <v>-0.19800000000000001</v>
      </c>
      <c r="I26" s="28">
        <v>34107130.9152437</v>
      </c>
      <c r="J26" s="28">
        <v>33569481.560914703</v>
      </c>
      <c r="K26" s="29">
        <v>62.26</v>
      </c>
      <c r="L26" s="29">
        <v>77.650000000000006</v>
      </c>
      <c r="M26" s="29">
        <v>0</v>
      </c>
      <c r="N26" s="29">
        <v>77.650000000000006</v>
      </c>
      <c r="O26" s="29">
        <v>-15.390000000000009</v>
      </c>
      <c r="P26" s="29">
        <v>-15.390000000000009</v>
      </c>
      <c r="Q26" s="29">
        <v>-15.390000000000009</v>
      </c>
    </row>
  </sheetData>
  <mergeCells count="7">
    <mergeCell ref="F7:G7"/>
    <mergeCell ref="F3:G3"/>
    <mergeCell ref="A2:D2"/>
    <mergeCell ref="F2:G2"/>
    <mergeCell ref="F4:G4"/>
    <mergeCell ref="F5:G5"/>
    <mergeCell ref="F6:G6"/>
  </mergeCells>
  <pageMargins left="0.23622047244094502" right="0.23622047244094502" top="0.74803149606299202" bottom="0.74803149606299202" header="0.31496062992126" footer="0.31496062992126"/>
  <pageSetup paperSize="9" scale="60" fitToHeight="0" orientation="portrait" cellComments="atEnd" verticalDpi="300" r:id="rId1"/>
  <headerFooter>
    <oddHeader>&amp;L&amp;D&amp;C&amp;"David,מודגש"נספח לטופס רווח הון בגין מכירת מטבעות וירטואליים לשנת&amp;R&amp;"David,מודגש"שם:</oddHeader>
    <oddFooter>&amp;C&amp;"David,מודגש"&amp;P&amp;R&amp;"David,רגיל"רווחים אלו חושבו לפי שיטת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</vt:i4>
      </vt:variant>
      <vt:variant>
        <vt:lpstr>טווחים בעלי שם</vt:lpstr>
      </vt:variant>
      <vt:variant>
        <vt:i4>1</vt:i4>
      </vt:variant>
    </vt:vector>
  </HeadingPairs>
  <TitlesOfParts>
    <vt:vector size="2" baseType="lpstr">
      <vt:lpstr>Sheet1</vt:lpstr>
      <vt:lpstr>Sheet1!WPrint_TitlesW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</dc:creator>
  <cp:lastModifiedBy>Ronit</cp:lastModifiedBy>
  <dcterms:created xsi:type="dcterms:W3CDTF">2020-05-07T09:03:44Z</dcterms:created>
  <dcterms:modified xsi:type="dcterms:W3CDTF">2020-05-25T19:37:17Z</dcterms:modified>
</cp:coreProperties>
</file>