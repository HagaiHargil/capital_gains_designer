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dar\Documents\capital_gains_designer\"/>
    </mc:Choice>
  </mc:AlternateContent>
  <bookViews>
    <workbookView xWindow="240" yWindow="15" windowWidth="16095" windowHeight="9660"/>
  </bookViews>
  <sheets>
    <sheet name="Sheet1" sheetId="1" r:id="rId1"/>
  </sheets>
  <definedNames>
    <definedName name="_xlnm.Print_Titles" localSheetId="0">Sheet1!$12:$12</definedName>
  </definedNames>
  <calcPr calcId="162913"/>
</workbook>
</file>

<file path=xl/calcChain.xml><?xml version="1.0" encoding="utf-8"?>
<calcChain xmlns="http://schemas.openxmlformats.org/spreadsheetml/2006/main">
  <c r="F7" i="1" l="1"/>
  <c r="F4" i="1"/>
  <c r="F5" i="1"/>
  <c r="F3" i="1"/>
</calcChain>
</file>

<file path=xl/sharedStrings.xml><?xml version="1.0" encoding="utf-8"?>
<sst xmlns="http://schemas.openxmlformats.org/spreadsheetml/2006/main" count="48" uniqueCount="31">
  <si>
    <t>מטבע</t>
  </si>
  <si>
    <t>כמות</t>
  </si>
  <si>
    <t>תאריך רכישה</t>
  </si>
  <si>
    <t>תאריך מכירה</t>
  </si>
  <si>
    <t>מחיר קניה</t>
  </si>
  <si>
    <t>מחיר מכירה</t>
  </si>
  <si>
    <t>מדד רכישה (לפי בסיס 51)</t>
  </si>
  <si>
    <t>מדד מכירה (לפי בסיס 51)</t>
  </si>
  <si>
    <t>תמורה בשקלים-שוי עסקת ברטר</t>
  </si>
  <si>
    <t>עלות מקורית נומינאלית</t>
  </si>
  <si>
    <t>סכום אינפלציוני</t>
  </si>
  <si>
    <t>עלות מקורית מתואמת</t>
  </si>
  <si>
    <t>רווח/הפסד נומינאלי</t>
  </si>
  <si>
    <t>רווח-הפסד ריאלי</t>
  </si>
  <si>
    <t>רווח-הפסד לצורכי מס</t>
  </si>
  <si>
    <t>BCH</t>
  </si>
  <si>
    <t>BTC</t>
  </si>
  <si>
    <t>ETH</t>
  </si>
  <si>
    <t>MAID</t>
  </si>
  <si>
    <t>inf</t>
  </si>
  <si>
    <t>øååç åäôñã ùåìé</t>
  </si>
  <si>
    <t>òñ÷ä</t>
  </si>
  <si>
    <t>øéëå ñòéôéí áù÷ìéí/ùåé òñ÷àåú áøèø</t>
  </si>
  <si>
    <t>òìåú îçéø î÷åøé</t>
  </si>
  <si>
    <t>øååç/äôñã ìöåøëé îñ</t>
  </si>
  <si>
    <t>äåöàåú ä÷ùåøåú áîëéøä ùìà äåôçúå îï äúîåøä</t>
  </si>
  <si>
    <t>øååç/äôñã ìééçåñ</t>
  </si>
  <si>
    <t>ùãä</t>
  </si>
  <si>
    <t>ñëåí</t>
  </si>
  <si>
    <t>úîåøä ëåììú áù÷ìéí/ùåé òñ÷àåú áøèø</t>
  </si>
  <si>
    <t>21à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</si>
</sst>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₪&quot;* #,##0.00_-;\-&quot;₪&quot;* #,##0.00_-;_-&quot;₪&quot;* &quot;-&quot;??_-;_-@_-"/>
    <numFmt numFmtId="43" formatCode="_-* #,##0.00_-;\-* #,##0.00_-;_-* &quot;-&quot;??_-;_-@_-"/>
    <numFmt numFmtId="164" formatCode="yyyy\-mm\-dd"/>
    <numFmt numFmtId="165" formatCode="_ &quot;₪&quot;\ * #,##0.0_ ;_ &quot;₪&quot;\ * \-#,##0.0_ ;_ &quot;₪&quot;\ * &quot;-&quot;??_ ;_ @_ "/>
    <numFmt numFmtId="167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David"/>
      <family val="2"/>
    </font>
    <font>
      <sz val="11"/>
      <color theme="1"/>
      <name val="David"/>
      <family val="2"/>
    </font>
    <font>
      <b/>
      <sz val="10"/>
      <color theme="1"/>
      <name val="David"/>
      <family val="2"/>
    </font>
    <font>
      <sz val="10"/>
      <color theme="1"/>
      <name val="David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center" wrapText="1"/>
    </xf>
    <xf numFmtId="0" fontId="3" fillId="0" borderId="0" xfId="0" applyFont="1"/>
    <xf numFmtId="44" fontId="3" fillId="0" borderId="0" xfId="2" applyFont="1"/>
    <xf numFmtId="9" fontId="3" fillId="0" borderId="0" xfId="3" applyFont="1" applyAlignment="1">
      <alignment horizontal="right"/>
    </xf>
    <xf numFmtId="167" fontId="3" fillId="0" borderId="0" xfId="1" applyNumberFormat="1" applyFont="1"/>
    <xf numFmtId="165" fontId="3" fillId="0" borderId="0" xfId="2" applyNumberFormat="1" applyFont="1"/>
    <xf numFmtId="0" fontId="5" fillId="0" borderId="0" xfId="0" applyFont="1" applyAlignment="1">
      <alignment horizontal="right"/>
    </xf>
    <xf numFmtId="0" fontId="2" fillId="0" borderId="0" xfId="0" applyFont="1"/>
    <xf numFmtId="44" fontId="3" fillId="0" borderId="2" xfId="2" applyFont="1" applyBorder="1" applyAlignment="1">
      <alignment horizontal="right"/>
    </xf>
    <xf numFmtId="44" fontId="3" fillId="0" borderId="8" xfId="2" applyFont="1" applyBorder="1" applyAlignment="1">
      <alignment horizontal="right"/>
    </xf>
    <xf numFmtId="44" fontId="3" fillId="0" borderId="6" xfId="2" applyFont="1" applyBorder="1" applyAlignment="1">
      <alignment horizontal="right"/>
    </xf>
    <xf numFmtId="44" fontId="3" fillId="0" borderId="9" xfId="2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/>
    <xf numFmtId="0" fontId="2" fillId="0" borderId="2" xfId="0" applyFont="1" applyBorder="1"/>
    <xf numFmtId="0" fontId="4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6" xfId="0" applyFont="1" applyBorder="1"/>
    <xf numFmtId="0" fontId="4" fillId="0" borderId="7" xfId="0" applyFont="1" applyBorder="1" applyAlignment="1">
      <alignment horizontal="right"/>
    </xf>
    <xf numFmtId="0" fontId="2" fillId="0" borderId="7" xfId="0" applyFont="1" applyBorder="1"/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right"/>
    </xf>
    <xf numFmtId="44" fontId="2" fillId="0" borderId="3" xfId="2" applyFont="1" applyBorder="1" applyAlignment="1">
      <alignment horizontal="center"/>
    </xf>
    <xf numFmtId="44" fontId="2" fillId="0" borderId="11" xfId="2" applyFont="1" applyBorder="1" applyAlignment="1">
      <alignment horizontal="center"/>
    </xf>
    <xf numFmtId="44" fontId="3" fillId="0" borderId="3" xfId="2" applyFont="1" applyBorder="1" applyAlignment="1">
      <alignment horizontal="right"/>
    </xf>
    <xf numFmtId="44" fontId="3" fillId="0" borderId="11" xfId="2" applyFont="1" applyBorder="1" applyAlignment="1">
      <alignment horizontal="right"/>
    </xf>
    <xf numFmtId="0" fontId="2" fillId="0" borderId="12" xfId="0" applyFont="1" applyBorder="1" applyAlignment="1">
      <alignment horizontal="center" wrapText="1"/>
    </xf>
    <xf numFmtId="44" fontId="2" fillId="0" borderId="12" xfId="2" applyFont="1" applyBorder="1" applyAlignment="1">
      <alignment horizontal="center" wrapText="1"/>
    </xf>
    <xf numFmtId="9" fontId="2" fillId="0" borderId="12" xfId="3" applyFont="1" applyBorder="1" applyAlignment="1">
      <alignment horizontal="center" wrapText="1"/>
    </xf>
    <xf numFmtId="167" fontId="2" fillId="0" borderId="12" xfId="1" applyNumberFormat="1" applyFont="1" applyBorder="1" applyAlignment="1">
      <alignment horizontal="center" wrapText="1"/>
    </xf>
    <xf numFmtId="165" fontId="2" fillId="0" borderId="12" xfId="2" applyNumberFormat="1" applyFont="1" applyBorder="1" applyAlignment="1">
      <alignment horizontal="center" wrapText="1"/>
    </xf>
    <xf numFmtId="0" fontId="3" fillId="0" borderId="1" xfId="0" applyFont="1" applyBorder="1"/>
    <xf numFmtId="0" fontId="5" fillId="0" borderId="1" xfId="0" applyFont="1" applyBorder="1" applyAlignment="1">
      <alignment horizontal="right"/>
    </xf>
    <xf numFmtId="164" fontId="3" fillId="0" borderId="1" xfId="0" applyNumberFormat="1" applyFont="1" applyBorder="1"/>
    <xf numFmtId="44" fontId="3" fillId="0" borderId="1" xfId="2" applyFont="1" applyBorder="1"/>
    <xf numFmtId="9" fontId="3" fillId="0" borderId="1" xfId="3" applyFont="1" applyBorder="1" applyAlignment="1">
      <alignment horizontal="right"/>
    </xf>
    <xf numFmtId="167" fontId="3" fillId="0" borderId="1" xfId="1" applyNumberFormat="1" applyFont="1" applyBorder="1"/>
    <xf numFmtId="165" fontId="3" fillId="0" borderId="1" xfId="2" applyNumberFormat="1" applyFont="1" applyBorder="1"/>
    <xf numFmtId="167" fontId="3" fillId="0" borderId="1" xfId="1" applyNumberFormat="1" applyFont="1" applyBorder="1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33"/>
  <sheetViews>
    <sheetView rightToLeft="1" tabSelected="1" view="pageLayout" topLeftCell="E7" zoomScaleNormal="100" workbookViewId="0">
      <selection activeCell="I13" sqref="I13"/>
    </sheetView>
  </sheetViews>
  <sheetFormatPr defaultRowHeight="15" x14ac:dyDescent="0.25"/>
  <cols>
    <col min="1" max="1" width="9.140625" style="2"/>
    <col min="2" max="2" width="5.85546875" style="7" bestFit="1" customWidth="1"/>
    <col min="3" max="3" width="12" style="2" bestFit="1" customWidth="1"/>
    <col min="4" max="5" width="10.42578125" style="2" bestFit="1" customWidth="1"/>
    <col min="6" max="7" width="12" style="3" bestFit="1" customWidth="1"/>
    <col min="8" max="8" width="8.5703125" style="4" bestFit="1" customWidth="1"/>
    <col min="9" max="10" width="11" style="5" bestFit="1" customWidth="1"/>
    <col min="11" max="11" width="14.140625" style="6" bestFit="1" customWidth="1"/>
    <col min="12" max="12" width="13.7109375" style="6" bestFit="1" customWidth="1"/>
    <col min="13" max="13" width="10" style="6" bestFit="1" customWidth="1"/>
    <col min="14" max="15" width="13.7109375" style="6" bestFit="1" customWidth="1"/>
    <col min="16" max="16" width="14.5703125" style="6" bestFit="1" customWidth="1"/>
    <col min="17" max="17" width="13.7109375" style="6" bestFit="1" customWidth="1"/>
    <col min="18" max="16384" width="9.140625" style="2"/>
  </cols>
  <sheetData>
    <row r="1" spans="1:17" ht="15.75" thickBot="1" x14ac:dyDescent="0.3"/>
    <row r="2" spans="1:17" ht="15.75" thickBot="1" x14ac:dyDescent="0.3">
      <c r="A2" s="13" t="s">
        <v>22</v>
      </c>
      <c r="B2" s="14"/>
      <c r="C2" s="14"/>
      <c r="D2" s="14"/>
      <c r="E2" s="15" t="s">
        <v>27</v>
      </c>
      <c r="F2" s="24" t="s">
        <v>28</v>
      </c>
      <c r="G2" s="25"/>
    </row>
    <row r="3" spans="1:17" x14ac:dyDescent="0.25">
      <c r="A3" s="23" t="s">
        <v>29</v>
      </c>
      <c r="B3" s="22"/>
      <c r="C3" s="22"/>
      <c r="D3" s="22"/>
      <c r="E3" s="16">
        <v>15</v>
      </c>
      <c r="F3" s="26">
        <f>SUM(K:K)</f>
        <v>24261604.27</v>
      </c>
      <c r="G3" s="27"/>
    </row>
    <row r="4" spans="1:17" x14ac:dyDescent="0.25">
      <c r="A4" s="16" t="s">
        <v>23</v>
      </c>
      <c r="B4" s="17"/>
      <c r="C4" s="18"/>
      <c r="D4" s="18"/>
      <c r="E4" s="16">
        <v>20</v>
      </c>
      <c r="F4" s="9">
        <f>F3-F5</f>
        <v>2298624.1937353984</v>
      </c>
      <c r="G4" s="10"/>
    </row>
    <row r="5" spans="1:17" x14ac:dyDescent="0.25">
      <c r="A5" s="16" t="s">
        <v>24</v>
      </c>
      <c r="B5" s="17"/>
      <c r="C5" s="18"/>
      <c r="D5" s="18"/>
      <c r="E5" s="16"/>
      <c r="F5" s="9">
        <f>SUM(Q:Q)</f>
        <v>21962980.076264601</v>
      </c>
      <c r="G5" s="10"/>
    </row>
    <row r="6" spans="1:17" x14ac:dyDescent="0.25">
      <c r="A6" s="16" t="s">
        <v>25</v>
      </c>
      <c r="B6" s="17"/>
      <c r="C6" s="18"/>
      <c r="D6" s="18"/>
      <c r="E6" s="16">
        <v>55</v>
      </c>
      <c r="F6" s="9"/>
      <c r="G6" s="10"/>
    </row>
    <row r="7" spans="1:17" ht="15.75" thickBot="1" x14ac:dyDescent="0.3">
      <c r="A7" s="19" t="s">
        <v>26</v>
      </c>
      <c r="B7" s="20"/>
      <c r="C7" s="21"/>
      <c r="D7" s="21"/>
      <c r="E7" s="19" t="s">
        <v>30</v>
      </c>
      <c r="F7" s="11">
        <f>F5-F6</f>
        <v>21962980.076264601</v>
      </c>
      <c r="G7" s="12"/>
    </row>
    <row r="8" spans="1:17" x14ac:dyDescent="0.25">
      <c r="A8" s="8"/>
    </row>
    <row r="12" spans="1:17" s="1" customFormat="1" ht="45" x14ac:dyDescent="0.25">
      <c r="A12" s="28" t="s">
        <v>21</v>
      </c>
      <c r="B12" s="28" t="s">
        <v>0</v>
      </c>
      <c r="C12" s="28" t="s">
        <v>1</v>
      </c>
      <c r="D12" s="28" t="s">
        <v>2</v>
      </c>
      <c r="E12" s="28" t="s">
        <v>3</v>
      </c>
      <c r="F12" s="29" t="s">
        <v>4</v>
      </c>
      <c r="G12" s="29" t="s">
        <v>5</v>
      </c>
      <c r="H12" s="30" t="s">
        <v>20</v>
      </c>
      <c r="I12" s="31" t="s">
        <v>6</v>
      </c>
      <c r="J12" s="31" t="s">
        <v>7</v>
      </c>
      <c r="K12" s="32" t="s">
        <v>8</v>
      </c>
      <c r="L12" s="32" t="s">
        <v>9</v>
      </c>
      <c r="M12" s="32" t="s">
        <v>10</v>
      </c>
      <c r="N12" s="32" t="s">
        <v>11</v>
      </c>
      <c r="O12" s="32" t="s">
        <v>12</v>
      </c>
      <c r="P12" s="32" t="s">
        <v>13</v>
      </c>
      <c r="Q12" s="32" t="s">
        <v>14</v>
      </c>
    </row>
    <row r="13" spans="1:17" x14ac:dyDescent="0.25">
      <c r="A13" s="33">
        <v>1</v>
      </c>
      <c r="B13" s="34" t="s">
        <v>15</v>
      </c>
      <c r="C13" s="33">
        <v>727.08104899999978</v>
      </c>
      <c r="D13" s="35">
        <v>43155</v>
      </c>
      <c r="E13" s="35">
        <v>43155</v>
      </c>
      <c r="F13" s="36">
        <v>0</v>
      </c>
      <c r="G13" s="36">
        <v>4100.0243701854524</v>
      </c>
      <c r="H13" s="37" t="s">
        <v>19</v>
      </c>
      <c r="I13" s="40">
        <v>33569481.560914703</v>
      </c>
      <c r="J13" s="38">
        <v>33569481.560914703</v>
      </c>
      <c r="K13" s="39">
        <v>2981050.0200000009</v>
      </c>
      <c r="L13" s="39">
        <v>0</v>
      </c>
      <c r="M13" s="39">
        <v>0</v>
      </c>
      <c r="N13" s="39">
        <v>0</v>
      </c>
      <c r="O13" s="39">
        <v>2981050.0200000009</v>
      </c>
      <c r="P13" s="39">
        <v>2981050.0200000009</v>
      </c>
      <c r="Q13" s="39">
        <v>2981050.0200000009</v>
      </c>
    </row>
    <row r="14" spans="1:17" x14ac:dyDescent="0.25">
      <c r="A14" s="33">
        <v>2</v>
      </c>
      <c r="B14" s="34" t="s">
        <v>16</v>
      </c>
      <c r="C14" s="33">
        <v>0.02</v>
      </c>
      <c r="D14" s="35">
        <v>40839</v>
      </c>
      <c r="E14" s="35">
        <v>43130</v>
      </c>
      <c r="F14" s="36">
        <v>4</v>
      </c>
      <c r="G14" s="36">
        <v>35000</v>
      </c>
      <c r="H14" s="37">
        <v>8749</v>
      </c>
      <c r="I14" s="38">
        <v>32930648.4045204</v>
      </c>
      <c r="J14" s="38">
        <v>33737496.984142497</v>
      </c>
      <c r="K14" s="39">
        <v>700</v>
      </c>
      <c r="L14" s="39">
        <v>0.08</v>
      </c>
      <c r="M14" s="39">
        <v>1.960000000000003E-3</v>
      </c>
      <c r="N14" s="39">
        <v>8.1960000000000005E-2</v>
      </c>
      <c r="O14" s="39">
        <v>699.92</v>
      </c>
      <c r="P14" s="39">
        <v>699.91804000000002</v>
      </c>
      <c r="Q14" s="39">
        <v>699.91804000000002</v>
      </c>
    </row>
    <row r="15" spans="1:17" x14ac:dyDescent="0.25">
      <c r="A15" s="33"/>
      <c r="B15" s="34" t="s">
        <v>16</v>
      </c>
      <c r="C15" s="33">
        <v>4.8000000000000001E-2</v>
      </c>
      <c r="D15" s="35">
        <v>40839</v>
      </c>
      <c r="E15" s="35">
        <v>43137</v>
      </c>
      <c r="F15" s="36">
        <v>3.958333333333333</v>
      </c>
      <c r="G15" s="36">
        <v>27083.333333333328</v>
      </c>
      <c r="H15" s="37">
        <v>6841.1049999999996</v>
      </c>
      <c r="I15" s="38">
        <v>32930648.4045204</v>
      </c>
      <c r="J15" s="38">
        <v>33569481.560914703</v>
      </c>
      <c r="K15" s="39">
        <v>1300</v>
      </c>
      <c r="L15" s="39">
        <v>0.19</v>
      </c>
      <c r="M15" s="39">
        <v>3.686000000000023E-3</v>
      </c>
      <c r="N15" s="39">
        <v>0.193686</v>
      </c>
      <c r="O15" s="39">
        <v>1299.81</v>
      </c>
      <c r="P15" s="39">
        <v>1299.8063139999999</v>
      </c>
      <c r="Q15" s="39">
        <v>1299.8063139999999</v>
      </c>
    </row>
    <row r="16" spans="1:17" x14ac:dyDescent="0.25">
      <c r="A16" s="33"/>
      <c r="B16" s="34" t="s">
        <v>16</v>
      </c>
      <c r="C16" s="33">
        <v>3.4799999999999998E-2</v>
      </c>
      <c r="D16" s="35">
        <v>40839</v>
      </c>
      <c r="E16" s="35">
        <v>43150</v>
      </c>
      <c r="F16" s="36">
        <v>4.0229885057471284</v>
      </c>
      <c r="G16" s="36">
        <v>34482.758620689659</v>
      </c>
      <c r="H16" s="37">
        <v>8570.4290000000001</v>
      </c>
      <c r="I16" s="38">
        <v>32930648.4045204</v>
      </c>
      <c r="J16" s="38">
        <v>33569481.560914703</v>
      </c>
      <c r="K16" s="39">
        <v>1200</v>
      </c>
      <c r="L16" s="39">
        <v>0.14000000000000001</v>
      </c>
      <c r="M16" s="39">
        <v>2.716000000000024E-3</v>
      </c>
      <c r="N16" s="39">
        <v>0.14271600000000001</v>
      </c>
      <c r="O16" s="39">
        <v>1199.8599999999999</v>
      </c>
      <c r="P16" s="39">
        <v>1199.8572839999999</v>
      </c>
      <c r="Q16" s="39">
        <v>1199.8572839999999</v>
      </c>
    </row>
    <row r="17" spans="1:17" x14ac:dyDescent="0.25">
      <c r="A17" s="33"/>
      <c r="B17" s="34" t="s">
        <v>16</v>
      </c>
      <c r="C17" s="33">
        <v>0.03</v>
      </c>
      <c r="D17" s="35">
        <v>40839</v>
      </c>
      <c r="E17" s="35">
        <v>43154</v>
      </c>
      <c r="F17" s="36">
        <v>4</v>
      </c>
      <c r="G17" s="36">
        <v>35000</v>
      </c>
      <c r="H17" s="37">
        <v>8749</v>
      </c>
      <c r="I17" s="38">
        <v>32930648.4045204</v>
      </c>
      <c r="J17" s="38">
        <v>33569481.560914703</v>
      </c>
      <c r="K17" s="39">
        <v>1050</v>
      </c>
      <c r="L17" s="39">
        <v>0.12</v>
      </c>
      <c r="M17" s="39">
        <v>2.3280000000000111E-3</v>
      </c>
      <c r="N17" s="39">
        <v>0.12232800000000001</v>
      </c>
      <c r="O17" s="39">
        <v>1049.8800000000001</v>
      </c>
      <c r="P17" s="39">
        <v>1049.8776720000001</v>
      </c>
      <c r="Q17" s="39">
        <v>1049.8776720000001</v>
      </c>
    </row>
    <row r="18" spans="1:17" x14ac:dyDescent="0.25">
      <c r="A18" s="33"/>
      <c r="B18" s="34" t="s">
        <v>16</v>
      </c>
      <c r="C18" s="33">
        <v>60</v>
      </c>
      <c r="D18" s="35">
        <v>40839</v>
      </c>
      <c r="E18" s="35">
        <v>43157</v>
      </c>
      <c r="F18" s="36">
        <v>10.53</v>
      </c>
      <c r="G18" s="36">
        <v>34860.099953333331</v>
      </c>
      <c r="H18" s="37">
        <v>3309.5509999999999</v>
      </c>
      <c r="I18" s="38">
        <v>32930648.4045204</v>
      </c>
      <c r="J18" s="38">
        <v>33569481.560914703</v>
      </c>
      <c r="K18" s="39">
        <v>2091605.9972000001</v>
      </c>
      <c r="L18" s="39">
        <v>631.80000000000007</v>
      </c>
      <c r="M18" s="39">
        <v>12.25692000000004</v>
      </c>
      <c r="N18" s="39">
        <v>644.0569200000001</v>
      </c>
      <c r="O18" s="39">
        <v>2090974.1972000001</v>
      </c>
      <c r="P18" s="39">
        <v>2090961.94028</v>
      </c>
      <c r="Q18" s="39">
        <v>2090961.94028</v>
      </c>
    </row>
    <row r="19" spans="1:17" x14ac:dyDescent="0.25">
      <c r="A19" s="33"/>
      <c r="B19" s="34" t="s">
        <v>16</v>
      </c>
      <c r="C19" s="33">
        <v>17.3929665</v>
      </c>
      <c r="D19" s="35">
        <v>42789</v>
      </c>
      <c r="E19" s="35">
        <v>43157</v>
      </c>
      <c r="F19" s="36">
        <v>90571.522057493756</v>
      </c>
      <c r="G19" s="36">
        <v>34860.100035264251</v>
      </c>
      <c r="H19" s="37">
        <v>-0.61499999999999999</v>
      </c>
      <c r="I19" s="38">
        <v>33535878.4762692</v>
      </c>
      <c r="J19" s="38">
        <v>33569481.560914703</v>
      </c>
      <c r="K19" s="39">
        <v>606320.55209999997</v>
      </c>
      <c r="L19" s="39">
        <v>1575307.449</v>
      </c>
      <c r="M19" s="39">
        <v>1575.307448999723</v>
      </c>
      <c r="N19" s="39">
        <v>1576882.756449</v>
      </c>
      <c r="O19" s="39">
        <v>-968986.89690000005</v>
      </c>
      <c r="P19" s="39">
        <v>-970562.20434899977</v>
      </c>
      <c r="Q19" s="39">
        <v>-968986.89690000005</v>
      </c>
    </row>
    <row r="20" spans="1:17" x14ac:dyDescent="0.25">
      <c r="A20" s="33"/>
      <c r="B20" s="34" t="s">
        <v>16</v>
      </c>
      <c r="C20" s="33">
        <v>27.080774720000001</v>
      </c>
      <c r="D20" s="35">
        <v>42984</v>
      </c>
      <c r="E20" s="35">
        <v>43157</v>
      </c>
      <c r="F20" s="36">
        <v>9957.1800802602738</v>
      </c>
      <c r="G20" s="36">
        <v>34860.100032618269</v>
      </c>
      <c r="H20" s="37">
        <v>2.5009999999999999</v>
      </c>
      <c r="I20" s="38">
        <v>33670290.814851403</v>
      </c>
      <c r="J20" s="38">
        <v>33569481.560914703</v>
      </c>
      <c r="K20" s="39">
        <v>944038.51569999999</v>
      </c>
      <c r="L20" s="39">
        <v>269648.15059999999</v>
      </c>
      <c r="M20" s="39">
        <v>0</v>
      </c>
      <c r="N20" s="39">
        <v>269648.15059999999</v>
      </c>
      <c r="O20" s="39">
        <v>674390.36510000005</v>
      </c>
      <c r="P20" s="39">
        <v>674390.36510000005</v>
      </c>
      <c r="Q20" s="39">
        <v>674390.36510000005</v>
      </c>
    </row>
    <row r="21" spans="1:17" x14ac:dyDescent="0.25">
      <c r="A21" s="33"/>
      <c r="B21" s="34" t="s">
        <v>16</v>
      </c>
      <c r="C21" s="33">
        <v>55.526258769999998</v>
      </c>
      <c r="D21" s="35">
        <v>43002</v>
      </c>
      <c r="E21" s="35">
        <v>43157</v>
      </c>
      <c r="F21" s="36">
        <v>6628.5106930138672</v>
      </c>
      <c r="G21" s="36">
        <v>34860.100029750312</v>
      </c>
      <c r="H21" s="37">
        <v>4.2590000000000003</v>
      </c>
      <c r="I21" s="38">
        <v>33670290.814851403</v>
      </c>
      <c r="J21" s="38">
        <v>33569481.560914703</v>
      </c>
      <c r="K21" s="39">
        <v>1935650.9350000001</v>
      </c>
      <c r="L21" s="39">
        <v>368056.4</v>
      </c>
      <c r="M21" s="39">
        <v>0</v>
      </c>
      <c r="N21" s="39">
        <v>368056.4</v>
      </c>
      <c r="O21" s="39">
        <v>1567594.5349999999</v>
      </c>
      <c r="P21" s="39">
        <v>1567594.5349999999</v>
      </c>
      <c r="Q21" s="39">
        <v>1567594.5349999999</v>
      </c>
    </row>
    <row r="22" spans="1:17" x14ac:dyDescent="0.25">
      <c r="A22" s="33"/>
      <c r="B22" s="34" t="s">
        <v>16</v>
      </c>
      <c r="C22" s="33">
        <v>133</v>
      </c>
      <c r="D22" s="35">
        <v>40839</v>
      </c>
      <c r="E22" s="35">
        <v>43225</v>
      </c>
      <c r="F22" s="36">
        <v>3.948571428571428</v>
      </c>
      <c r="G22" s="36">
        <v>35394.557593984951</v>
      </c>
      <c r="H22" s="37">
        <v>8962.8889999999992</v>
      </c>
      <c r="I22" s="38">
        <v>32930648.4045204</v>
      </c>
      <c r="J22" s="38">
        <v>33838306.238079198</v>
      </c>
      <c r="K22" s="39">
        <v>4707476.1599999983</v>
      </c>
      <c r="L22" s="39">
        <v>525.16</v>
      </c>
      <c r="M22" s="39">
        <v>14.47340959999997</v>
      </c>
      <c r="N22" s="39">
        <v>539.63340959999994</v>
      </c>
      <c r="O22" s="39">
        <v>4706950.9999999981</v>
      </c>
      <c r="P22" s="39">
        <v>4706936.5265903994</v>
      </c>
      <c r="Q22" s="39">
        <v>4706936.5265903994</v>
      </c>
    </row>
    <row r="23" spans="1:17" x14ac:dyDescent="0.25">
      <c r="A23" s="33"/>
      <c r="B23" s="34" t="s">
        <v>16</v>
      </c>
      <c r="C23" s="33">
        <v>0.05</v>
      </c>
      <c r="D23" s="35">
        <v>40839</v>
      </c>
      <c r="E23" s="35">
        <v>43376</v>
      </c>
      <c r="F23" s="36">
        <v>4</v>
      </c>
      <c r="G23" s="36">
        <v>32340</v>
      </c>
      <c r="H23" s="37">
        <v>8084</v>
      </c>
      <c r="I23" s="38">
        <v>32930648.4045204</v>
      </c>
      <c r="J23" s="38">
        <v>34107130.9152437</v>
      </c>
      <c r="K23" s="39">
        <v>1617</v>
      </c>
      <c r="L23" s="39">
        <v>0.2</v>
      </c>
      <c r="M23" s="39">
        <v>7.1460000000000126E-3</v>
      </c>
      <c r="N23" s="39">
        <v>0.207146</v>
      </c>
      <c r="O23" s="39">
        <v>1616.8</v>
      </c>
      <c r="P23" s="39">
        <v>1616.792854</v>
      </c>
      <c r="Q23" s="39">
        <v>1616.792854</v>
      </c>
    </row>
    <row r="24" spans="1:17" x14ac:dyDescent="0.25">
      <c r="A24" s="33"/>
      <c r="B24" s="34" t="s">
        <v>16</v>
      </c>
      <c r="C24" s="33">
        <v>5.0999999999999997E-2</v>
      </c>
      <c r="D24" s="35">
        <v>40839</v>
      </c>
      <c r="E24" s="35">
        <v>43393</v>
      </c>
      <c r="F24" s="36">
        <v>3.9215686274509811</v>
      </c>
      <c r="G24" s="36">
        <v>23529.411764705881</v>
      </c>
      <c r="H24" s="37">
        <v>5999</v>
      </c>
      <c r="I24" s="38">
        <v>32930648.4045204</v>
      </c>
      <c r="J24" s="38">
        <v>34107130.9152437</v>
      </c>
      <c r="K24" s="39">
        <v>1200</v>
      </c>
      <c r="L24" s="39">
        <v>0.2</v>
      </c>
      <c r="M24" s="39">
        <v>7.1460000000000126E-3</v>
      </c>
      <c r="N24" s="39">
        <v>0.207146</v>
      </c>
      <c r="O24" s="39">
        <v>1199.8</v>
      </c>
      <c r="P24" s="39">
        <v>1199.792854</v>
      </c>
      <c r="Q24" s="39">
        <v>1199.792854</v>
      </c>
    </row>
    <row r="25" spans="1:17" x14ac:dyDescent="0.25">
      <c r="A25" s="33"/>
      <c r="B25" s="34" t="s">
        <v>16</v>
      </c>
      <c r="C25" s="33">
        <v>0.06</v>
      </c>
      <c r="D25" s="35">
        <v>40839</v>
      </c>
      <c r="E25" s="35">
        <v>43426</v>
      </c>
      <c r="F25" s="36">
        <v>4</v>
      </c>
      <c r="G25" s="36">
        <v>16893.666666666672</v>
      </c>
      <c r="H25" s="37">
        <v>4222.4170000000004</v>
      </c>
      <c r="I25" s="38">
        <v>32930648.4045204</v>
      </c>
      <c r="J25" s="38">
        <v>34207940.169180401</v>
      </c>
      <c r="K25" s="39">
        <v>1013.62</v>
      </c>
      <c r="L25" s="39">
        <v>0.24</v>
      </c>
      <c r="M25" s="39">
        <v>9.309600000000029E-3</v>
      </c>
      <c r="N25" s="39">
        <v>0.24930959999999999</v>
      </c>
      <c r="O25" s="39">
        <v>1013.38</v>
      </c>
      <c r="P25" s="39">
        <v>1013.3706903999999</v>
      </c>
      <c r="Q25" s="39">
        <v>1013.3706903999999</v>
      </c>
    </row>
    <row r="26" spans="1:17" x14ac:dyDescent="0.25">
      <c r="A26" s="33"/>
      <c r="B26" s="34" t="s">
        <v>17</v>
      </c>
      <c r="C26" s="33">
        <v>96.302309999999991</v>
      </c>
      <c r="D26" s="35">
        <v>42015</v>
      </c>
      <c r="E26" s="35">
        <v>43101</v>
      </c>
      <c r="F26" s="36">
        <v>8.9872195173719103</v>
      </c>
      <c r="G26" s="36">
        <v>2907.5726220897509</v>
      </c>
      <c r="H26" s="37">
        <v>322.52300000000002</v>
      </c>
      <c r="I26" s="38">
        <v>34010140.390488602</v>
      </c>
      <c r="J26" s="38">
        <v>33737496.984142497</v>
      </c>
      <c r="K26" s="39">
        <v>280005.96000000002</v>
      </c>
      <c r="L26" s="39">
        <v>865.49</v>
      </c>
      <c r="M26" s="39">
        <v>0</v>
      </c>
      <c r="N26" s="39">
        <v>865.49</v>
      </c>
      <c r="O26" s="39">
        <v>279140.46999999997</v>
      </c>
      <c r="P26" s="39">
        <v>279140.46999999997</v>
      </c>
      <c r="Q26" s="39">
        <v>279140.46999999997</v>
      </c>
    </row>
    <row r="27" spans="1:17" x14ac:dyDescent="0.25">
      <c r="A27" s="33"/>
      <c r="B27" s="34" t="s">
        <v>17</v>
      </c>
      <c r="C27" s="33">
        <v>7.9419999999999994E-3</v>
      </c>
      <c r="D27" s="35">
        <v>42015</v>
      </c>
      <c r="E27" s="35">
        <v>43103</v>
      </c>
      <c r="F27" s="36">
        <v>8.8139007806597842</v>
      </c>
      <c r="G27" s="36">
        <v>2995.4671367413748</v>
      </c>
      <c r="H27" s="37">
        <v>338.85700000000003</v>
      </c>
      <c r="I27" s="38">
        <v>34010140.390488602</v>
      </c>
      <c r="J27" s="38">
        <v>33737496.984142497</v>
      </c>
      <c r="K27" s="39">
        <v>23.79</v>
      </c>
      <c r="L27" s="39">
        <v>7.0000000000000007E-2</v>
      </c>
      <c r="M27" s="39">
        <v>0</v>
      </c>
      <c r="N27" s="39">
        <v>7.0000000000000007E-2</v>
      </c>
      <c r="O27" s="39">
        <v>23.72</v>
      </c>
      <c r="P27" s="39">
        <v>23.72</v>
      </c>
      <c r="Q27" s="39">
        <v>23.72</v>
      </c>
    </row>
    <row r="28" spans="1:17" x14ac:dyDescent="0.25">
      <c r="A28" s="33"/>
      <c r="B28" s="34" t="s">
        <v>17</v>
      </c>
      <c r="C28" s="33">
        <v>3000.000193479998</v>
      </c>
      <c r="D28" s="35">
        <v>42015</v>
      </c>
      <c r="E28" s="35">
        <v>43155</v>
      </c>
      <c r="F28" s="36">
        <v>8.9871560870550216</v>
      </c>
      <c r="G28" s="36">
        <v>2877.7760977359608</v>
      </c>
      <c r="H28" s="37">
        <v>319.20999999999998</v>
      </c>
      <c r="I28" s="38">
        <v>34010140.390488602</v>
      </c>
      <c r="J28" s="38">
        <v>33569481.560914703</v>
      </c>
      <c r="K28" s="39">
        <v>8633328.8499999978</v>
      </c>
      <c r="L28" s="39">
        <v>26961.47</v>
      </c>
      <c r="M28" s="39">
        <v>0</v>
      </c>
      <c r="N28" s="39">
        <v>26961.47</v>
      </c>
      <c r="O28" s="39">
        <v>8606367.3799999971</v>
      </c>
      <c r="P28" s="39">
        <v>8606367.3799999971</v>
      </c>
      <c r="Q28" s="39">
        <v>8606367.3799999971</v>
      </c>
    </row>
    <row r="29" spans="1:17" x14ac:dyDescent="0.25">
      <c r="A29" s="33"/>
      <c r="B29" s="34" t="s">
        <v>17</v>
      </c>
      <c r="C29" s="33">
        <v>300.01</v>
      </c>
      <c r="D29" s="35">
        <v>42015</v>
      </c>
      <c r="E29" s="35">
        <v>43215</v>
      </c>
      <c r="F29" s="36">
        <v>8.9872004266524446</v>
      </c>
      <c r="G29" s="36">
        <v>2443.6230125662478</v>
      </c>
      <c r="H29" s="37">
        <v>270.89999999999998</v>
      </c>
      <c r="I29" s="38">
        <v>34010140.390488602</v>
      </c>
      <c r="J29" s="38">
        <v>33703893.899497002</v>
      </c>
      <c r="K29" s="39">
        <v>733111.34</v>
      </c>
      <c r="L29" s="39">
        <v>2696.25</v>
      </c>
      <c r="M29" s="39">
        <v>0</v>
      </c>
      <c r="N29" s="39">
        <v>2696.25</v>
      </c>
      <c r="O29" s="39">
        <v>730415.09</v>
      </c>
      <c r="P29" s="39">
        <v>730415.09</v>
      </c>
      <c r="Q29" s="39">
        <v>730415.09</v>
      </c>
    </row>
    <row r="30" spans="1:17" x14ac:dyDescent="0.25">
      <c r="A30" s="33"/>
      <c r="B30" s="34" t="s">
        <v>17</v>
      </c>
      <c r="C30" s="33">
        <v>0.22500000000000001</v>
      </c>
      <c r="D30" s="35">
        <v>42015</v>
      </c>
      <c r="E30" s="35">
        <v>43372</v>
      </c>
      <c r="F30" s="36">
        <v>8.9777777777777779</v>
      </c>
      <c r="G30" s="36">
        <v>814.3555555555555</v>
      </c>
      <c r="H30" s="37">
        <v>89.707999999999998</v>
      </c>
      <c r="I30" s="38">
        <v>34010140.390488602</v>
      </c>
      <c r="J30" s="38">
        <v>34073527.830598198</v>
      </c>
      <c r="K30" s="39">
        <v>183.23</v>
      </c>
      <c r="L30" s="39">
        <v>2.02</v>
      </c>
      <c r="M30" s="39">
        <v>3.7571999999999051E-3</v>
      </c>
      <c r="N30" s="39">
        <v>2.0237571999999999</v>
      </c>
      <c r="O30" s="39">
        <v>181.21</v>
      </c>
      <c r="P30" s="39">
        <v>181.20624280000001</v>
      </c>
      <c r="Q30" s="39">
        <v>181.20624280000001</v>
      </c>
    </row>
    <row r="31" spans="1:17" x14ac:dyDescent="0.25">
      <c r="A31" s="33"/>
      <c r="B31" s="34" t="s">
        <v>17</v>
      </c>
      <c r="C31" s="33">
        <v>0.22500000000000001</v>
      </c>
      <c r="D31" s="35">
        <v>42015</v>
      </c>
      <c r="E31" s="35">
        <v>43464</v>
      </c>
      <c r="F31" s="36">
        <v>8.9777777777777779</v>
      </c>
      <c r="G31" s="36">
        <v>522.75555555555559</v>
      </c>
      <c r="H31" s="37">
        <v>57.228000000000002</v>
      </c>
      <c r="I31" s="38">
        <v>34010140.390488602</v>
      </c>
      <c r="J31" s="38">
        <v>34107130.9152437</v>
      </c>
      <c r="K31" s="39">
        <v>117.62</v>
      </c>
      <c r="L31" s="39">
        <v>2.02</v>
      </c>
      <c r="M31" s="39">
        <v>5.7570000000000121E-3</v>
      </c>
      <c r="N31" s="39">
        <v>2.025757</v>
      </c>
      <c r="O31" s="39">
        <v>115.6</v>
      </c>
      <c r="P31" s="39">
        <v>115.59424300000001</v>
      </c>
      <c r="Q31" s="39">
        <v>115.59424300000001</v>
      </c>
    </row>
    <row r="32" spans="1:17" x14ac:dyDescent="0.25">
      <c r="A32" s="33"/>
      <c r="B32" s="34" t="s">
        <v>18</v>
      </c>
      <c r="C32" s="33">
        <v>499999.99640599987</v>
      </c>
      <c r="D32" s="35">
        <v>43043</v>
      </c>
      <c r="E32" s="35">
        <v>43103</v>
      </c>
      <c r="F32" s="36">
        <v>5.3900000387433207E-2</v>
      </c>
      <c r="G32" s="36">
        <v>1.2472835489654741</v>
      </c>
      <c r="H32" s="37">
        <v>22.140999999999998</v>
      </c>
      <c r="I32" s="38">
        <v>33804703.153433703</v>
      </c>
      <c r="J32" s="38">
        <v>33737496.984142497</v>
      </c>
      <c r="K32" s="39">
        <v>623641.7699999999</v>
      </c>
      <c r="L32" s="39">
        <v>26950</v>
      </c>
      <c r="M32" s="39">
        <v>0</v>
      </c>
      <c r="N32" s="39">
        <v>26950</v>
      </c>
      <c r="O32" s="39">
        <v>596691.7699999999</v>
      </c>
      <c r="P32" s="39">
        <v>596691.7699999999</v>
      </c>
      <c r="Q32" s="39">
        <v>596691.7699999999</v>
      </c>
    </row>
    <row r="33" spans="1:17" x14ac:dyDescent="0.25">
      <c r="A33" s="33"/>
      <c r="B33" s="34" t="s">
        <v>18</v>
      </c>
      <c r="C33" s="33">
        <v>499999.996851</v>
      </c>
      <c r="D33" s="35">
        <v>43043</v>
      </c>
      <c r="E33" s="35">
        <v>43154</v>
      </c>
      <c r="F33" s="36">
        <v>5.3899940339461827E-2</v>
      </c>
      <c r="G33" s="36">
        <v>1.433937829030941</v>
      </c>
      <c r="H33" s="37">
        <v>25.603999999999999</v>
      </c>
      <c r="I33" s="38">
        <v>33804703.153433703</v>
      </c>
      <c r="J33" s="38">
        <v>33569481.560914703</v>
      </c>
      <c r="K33" s="39">
        <v>716968.91000000015</v>
      </c>
      <c r="L33" s="39">
        <v>26949.97</v>
      </c>
      <c r="M33" s="39">
        <v>0</v>
      </c>
      <c r="N33" s="39">
        <v>26949.97</v>
      </c>
      <c r="O33" s="39">
        <v>690018.94000000018</v>
      </c>
      <c r="P33" s="39">
        <v>690018.94000000018</v>
      </c>
      <c r="Q33" s="39">
        <v>690018.94000000018</v>
      </c>
    </row>
  </sheetData>
  <mergeCells count="7">
    <mergeCell ref="A2:D2"/>
    <mergeCell ref="F2:G2"/>
    <mergeCell ref="F4:G4"/>
    <mergeCell ref="F5:G5"/>
    <mergeCell ref="F6:G6"/>
    <mergeCell ref="F7:G7"/>
    <mergeCell ref="F3:G3"/>
  </mergeCells>
  <pageMargins left="0.23622047244094502" right="0.23622047244094502" top="0.74803149606299202" bottom="0.74803149606299202" header="0.31496062992126" footer="0.31496062992126"/>
  <pageSetup paperSize="9" scale="50" fitToHeight="0" orientation="portrait" cellComments="atEnd" r:id="rId1"/>
  <headerFooter>
    <oddHeader>&amp;C&amp;"David,îåãâù"ðñôç ìèåôñ øååç äåï áâéï îëéøú îèáòåú åéøèåàìééí ìùðú&amp;L&amp;D&amp;R&amp;"David,îåãâù"ùí:</oddHeader>
    <oddFooter>&amp;C&amp;"David,îåãâù"&amp;P&amp;R&amp;"David,øâéì"øååçéí àìå çåùáå ìôé ùéèú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hadar</cp:lastModifiedBy>
  <dcterms:created xsi:type="dcterms:W3CDTF">2020-02-20T22:32:46Z</dcterms:created>
  <dcterms:modified xsi:type="dcterms:W3CDTF">2020-02-20T22:33:51Z</dcterms:modified>
</cp:coreProperties>
</file>