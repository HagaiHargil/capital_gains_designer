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Workbook______________8" defaultThemeVersion="124226"/>
  <mc:AlternateContent xmlns:mc="http://schemas.openxmlformats.org/markup-compatibility/2006">
    <mc:Choice Requires="x15">
      <x15ac:absPath xmlns:x15ac="http://schemas.microsoft.com/office/spreadsheetml/2010/11/ac" url="C:\Users\Ronit\capital_gains_designer\"/>
    </mc:Choice>
  </mc:AlternateContent>
  <bookViews>
    <workbookView xWindow="240" yWindow="15" windowWidth="16095" windowHeight="9660"/>
  </bookViews>
  <sheets>
    <sheet name="Sheet1" sheetId="1" r:id="rId1"/>
  </sheets>
  <definedNames>
    <definedName name="_xlnm.Print_Titles" localSheetId="0">Sheet1!$12:$12</definedName>
  </definedNames>
  <calcPr calcId="152511"/>
</workbook>
</file>

<file path=xl/calcChain.xml><?xml version="1.0" encoding="utf-8"?>
<calcChain xmlns="http://schemas.openxmlformats.org/spreadsheetml/2006/main">
  <c r="F7" i="1" l="1"/>
  <c r="F4" i="1"/>
  <c r="F5" i="1"/>
  <c r="F3" i="1"/>
</calcChain>
</file>

<file path=xl/sharedStrings.xml><?xml version="1.0" encoding="utf-8"?>
<sst xmlns="http://schemas.openxmlformats.org/spreadsheetml/2006/main" count="86" uniqueCount="41">
  <si>
    <t>מטבע</t>
  </si>
  <si>
    <t>כמות</t>
  </si>
  <si>
    <t>תאריך רכישה</t>
  </si>
  <si>
    <t>תאריך מכירה</t>
  </si>
  <si>
    <t>מחיר קניה</t>
  </si>
  <si>
    <t>מחיר מכירה</t>
  </si>
  <si>
    <t>רווח-הפסד שולי באחוזים</t>
  </si>
  <si>
    <t>מדד רכישה (לפי בסיס 51)</t>
  </si>
  <si>
    <t>מדד מכירה (לפי בסיס 51)</t>
  </si>
  <si>
    <t>תמורה בשקלים-שוי עסקת ברטר</t>
  </si>
  <si>
    <t>עלות מקורית נומינאלית</t>
  </si>
  <si>
    <t>סכום אינפלציוני</t>
  </si>
  <si>
    <t>רווח/הפסד נומינאלי</t>
  </si>
  <si>
    <t>רווח-הפסד ריאלי</t>
  </si>
  <si>
    <t>רווח-הפסד לצורכי מס</t>
  </si>
  <si>
    <t>AVT</t>
  </si>
  <si>
    <t>BCH</t>
  </si>
  <si>
    <t>BTC</t>
  </si>
  <si>
    <t>DAT</t>
  </si>
  <si>
    <t>EDO</t>
  </si>
  <si>
    <t>EOS</t>
  </si>
  <si>
    <t>ETC</t>
  </si>
  <si>
    <t>ETH</t>
  </si>
  <si>
    <t>IOT</t>
  </si>
  <si>
    <t>LTC</t>
  </si>
  <si>
    <t>NEO</t>
  </si>
  <si>
    <t>QSH</t>
  </si>
  <si>
    <t>SAN</t>
  </si>
  <si>
    <t>XMR</t>
  </si>
  <si>
    <t>XRP</t>
  </si>
  <si>
    <t>ZEC</t>
  </si>
  <si>
    <t>inf</t>
  </si>
  <si>
    <t>øéëåæ ñòéôéí áù''ç</t>
  </si>
  <si>
    <t>òìåú îçéø î÷åøé</t>
  </si>
  <si>
    <t>øååç/äôñã ìöåøëé îñ</t>
  </si>
  <si>
    <t>äåöàåú ä÷ùåøåú áîëéøä ùìà äåôçúå îï äúîåøä</t>
  </si>
  <si>
    <t>øååç/äôñã ìééçåñ</t>
  </si>
  <si>
    <t>ùãä</t>
  </si>
  <si>
    <t>ñëåí</t>
  </si>
  <si>
    <t>úîåøä ëåììú áù''ç</t>
  </si>
  <si>
    <t>21à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</si>
</sst>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 &quot;₪&quot;\ * #,##0.00_ ;_ &quot;₪&quot;\ * \-#,##0.00_ ;_ &quot;₪&quot;\ * &quot;-&quot;??_ ;_ @_ "/>
    <numFmt numFmtId="43" formatCode="_ * #,##0.00_ ;_ * \-#,##0.00_ ;_ * &quot;-&quot;??_ ;_ @_ "/>
    <numFmt numFmtId="164" formatCode="yyyy\-mm\-dd"/>
    <numFmt numFmtId="165" formatCode="_ &quot;₪&quot;\ * #,##0.0_ ;_ &quot;₪&quot;\ * \-#,##0.0_ ;_ &quot;₪&quot;\ * &quot;-&quot;??_ ;_ @_ "/>
    <numFmt numFmtId="167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David"/>
      <family val="2"/>
    </font>
    <font>
      <sz val="11"/>
      <color theme="1"/>
      <name val="David"/>
      <family val="2"/>
    </font>
    <font>
      <b/>
      <sz val="10"/>
      <color theme="1"/>
      <name val="David"/>
      <family val="2"/>
    </font>
    <font>
      <sz val="10"/>
      <color theme="1"/>
      <name val="David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2" fillId="0" borderId="1" xfId="0" applyFont="1" applyBorder="1" applyAlignment="1">
      <alignment horizontal="center" wrapText="1"/>
    </xf>
    <xf numFmtId="165" fontId="3" fillId="0" borderId="0" xfId="2" applyNumberFormat="1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/>
    <xf numFmtId="44" fontId="3" fillId="0" borderId="0" xfId="2" applyFont="1"/>
    <xf numFmtId="9" fontId="3" fillId="0" borderId="0" xfId="3" applyFont="1" applyAlignment="1">
      <alignment horizontal="right"/>
    </xf>
    <xf numFmtId="167" fontId="3" fillId="0" borderId="0" xfId="1" applyNumberFormat="1" applyFont="1"/>
    <xf numFmtId="165" fontId="3" fillId="0" borderId="0" xfId="2" applyNumberFormat="1" applyFont="1"/>
    <xf numFmtId="0" fontId="5" fillId="0" borderId="0" xfId="0" applyFont="1" applyAlignment="1">
      <alignment horizontal="right"/>
    </xf>
    <xf numFmtId="0" fontId="2" fillId="0" borderId="0" xfId="0" applyFont="1"/>
    <xf numFmtId="44" fontId="3" fillId="0" borderId="2" xfId="2" applyFont="1" applyBorder="1" applyAlignment="1">
      <alignment horizontal="right"/>
    </xf>
    <xf numFmtId="44" fontId="3" fillId="0" borderId="8" xfId="2" applyFont="1" applyBorder="1" applyAlignment="1">
      <alignment horizontal="right"/>
    </xf>
    <xf numFmtId="44" fontId="3" fillId="0" borderId="6" xfId="2" applyFont="1" applyBorder="1" applyAlignment="1">
      <alignment horizontal="right"/>
    </xf>
    <xf numFmtId="44" fontId="3" fillId="0" borderId="9" xfId="2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/>
    <xf numFmtId="0" fontId="2" fillId="0" borderId="2" xfId="0" applyFont="1" applyBorder="1"/>
    <xf numFmtId="0" fontId="4" fillId="0" borderId="0" xfId="0" applyFont="1" applyBorder="1" applyAlignment="1">
      <alignment horizontal="right"/>
    </xf>
    <xf numFmtId="0" fontId="2" fillId="0" borderId="0" xfId="0" applyFont="1" applyBorder="1"/>
    <xf numFmtId="0" fontId="2" fillId="0" borderId="6" xfId="0" applyFont="1" applyBorder="1"/>
    <xf numFmtId="0" fontId="4" fillId="0" borderId="7" xfId="0" applyFont="1" applyBorder="1" applyAlignment="1">
      <alignment horizontal="right"/>
    </xf>
    <xf numFmtId="0" fontId="2" fillId="0" borderId="7" xfId="0" applyFont="1" applyBorder="1"/>
    <xf numFmtId="0" fontId="2" fillId="0" borderId="0" xfId="0" applyFont="1" applyBorder="1" applyAlignment="1">
      <alignment horizontal="center"/>
    </xf>
    <xf numFmtId="0" fontId="2" fillId="0" borderId="2" xfId="0" applyFont="1" applyBorder="1" applyAlignment="1">
      <alignment horizontal="right"/>
    </xf>
    <xf numFmtId="44" fontId="2" fillId="0" borderId="3" xfId="2" applyFont="1" applyBorder="1" applyAlignment="1">
      <alignment horizontal="center"/>
    </xf>
    <xf numFmtId="44" fontId="2" fillId="0" borderId="11" xfId="2" applyFont="1" applyBorder="1" applyAlignment="1">
      <alignment horizontal="center"/>
    </xf>
    <xf numFmtId="44" fontId="3" fillId="0" borderId="3" xfId="2" applyFont="1" applyBorder="1" applyAlignment="1">
      <alignment horizontal="right"/>
    </xf>
    <xf numFmtId="44" fontId="3" fillId="0" borderId="11" xfId="2" applyFont="1" applyBorder="1" applyAlignment="1">
      <alignment horizontal="right"/>
    </xf>
    <xf numFmtId="0" fontId="2" fillId="0" borderId="12" xfId="0" applyFont="1" applyBorder="1" applyAlignment="1">
      <alignment horizontal="center" wrapText="1"/>
    </xf>
    <xf numFmtId="44" fontId="2" fillId="0" borderId="12" xfId="2" applyFont="1" applyBorder="1" applyAlignment="1">
      <alignment horizontal="center" wrapText="1"/>
    </xf>
    <xf numFmtId="9" fontId="2" fillId="0" borderId="12" xfId="3" applyFont="1" applyBorder="1" applyAlignment="1">
      <alignment horizontal="center" wrapText="1"/>
    </xf>
    <xf numFmtId="167" fontId="2" fillId="0" borderId="12" xfId="1" applyNumberFormat="1" applyFont="1" applyBorder="1" applyAlignment="1">
      <alignment horizontal="center" wrapText="1"/>
    </xf>
    <xf numFmtId="165" fontId="2" fillId="0" borderId="12" xfId="2" applyNumberFormat="1" applyFont="1" applyBorder="1" applyAlignment="1">
      <alignment horizontal="center" wrapText="1"/>
    </xf>
    <xf numFmtId="0" fontId="5" fillId="0" borderId="1" xfId="0" applyFont="1" applyBorder="1" applyAlignment="1">
      <alignment horizontal="right"/>
    </xf>
    <xf numFmtId="0" fontId="3" fillId="0" borderId="1" xfId="0" applyFont="1" applyBorder="1"/>
    <xf numFmtId="164" fontId="3" fillId="0" borderId="1" xfId="0" applyNumberFormat="1" applyFont="1" applyBorder="1"/>
    <xf numFmtId="44" fontId="3" fillId="0" borderId="1" xfId="2" applyFont="1" applyBorder="1"/>
    <xf numFmtId="9" fontId="3" fillId="0" borderId="1" xfId="3" applyFont="1" applyBorder="1" applyAlignment="1">
      <alignment horizontal="right"/>
    </xf>
    <xf numFmtId="167" fontId="3" fillId="0" borderId="1" xfId="1" applyNumberFormat="1" applyFont="1" applyBorder="1"/>
    <xf numFmtId="165" fontId="3" fillId="0" borderId="1" xfId="2" applyNumberFormat="1" applyFont="1" applyBorder="1"/>
    <xf numFmtId="167" fontId="3" fillId="0" borderId="1" xfId="1" applyNumberFormat="1" applyFont="1" applyBorder="1" applyAlignment="1">
      <alignment horizontal="right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Q69"/>
  <sheetViews>
    <sheetView rightToLeft="1" tabSelected="1" view="pageLayout" topLeftCell="A8" zoomScaleNormal="100" workbookViewId="0">
      <selection activeCell="I13" sqref="I13"/>
    </sheetView>
  </sheetViews>
  <sheetFormatPr defaultRowHeight="15" x14ac:dyDescent="0.25"/>
  <cols>
    <col min="1" max="1" width="9.140625" style="4"/>
    <col min="2" max="2" width="5.5703125" style="9" bestFit="1" customWidth="1"/>
    <col min="3" max="3" width="12" style="4" bestFit="1" customWidth="1"/>
    <col min="4" max="5" width="10.42578125" style="4" bestFit="1" customWidth="1"/>
    <col min="6" max="7" width="12" style="5" bestFit="1" customWidth="1"/>
    <col min="8" max="8" width="7.140625" style="6" bestFit="1" customWidth="1"/>
    <col min="9" max="10" width="11" style="7" bestFit="1" customWidth="1"/>
    <col min="11" max="11" width="11.42578125" style="8" bestFit="1" customWidth="1"/>
    <col min="12" max="12" width="11.7109375" style="8" bestFit="1" customWidth="1"/>
    <col min="13" max="13" width="8.42578125" style="8" bestFit="1" customWidth="1"/>
    <col min="14" max="14" width="10" style="8" bestFit="1" customWidth="1"/>
    <col min="15" max="15" width="10.85546875" style="8" bestFit="1" customWidth="1"/>
    <col min="16" max="17" width="10.7109375" style="8" bestFit="1" customWidth="1"/>
    <col min="18" max="16384" width="9.140625" style="4"/>
  </cols>
  <sheetData>
    <row r="1" spans="1:17" ht="15.75" thickBot="1" x14ac:dyDescent="0.3"/>
    <row r="2" spans="1:17" ht="15.75" thickBot="1" x14ac:dyDescent="0.3">
      <c r="A2" s="15" t="s">
        <v>32</v>
      </c>
      <c r="B2" s="16"/>
      <c r="C2" s="16"/>
      <c r="D2" s="16"/>
      <c r="E2" s="17" t="s">
        <v>37</v>
      </c>
      <c r="F2" s="26" t="s">
        <v>38</v>
      </c>
      <c r="G2" s="27"/>
    </row>
    <row r="3" spans="1:17" x14ac:dyDescent="0.25">
      <c r="A3" s="25" t="s">
        <v>39</v>
      </c>
      <c r="B3" s="24"/>
      <c r="C3" s="24"/>
      <c r="D3" s="24"/>
      <c r="E3" s="18">
        <v>15</v>
      </c>
      <c r="F3" s="28">
        <f>SUM(K:K)</f>
        <v>182703.42999999993</v>
      </c>
      <c r="G3" s="29"/>
    </row>
    <row r="4" spans="1:17" x14ac:dyDescent="0.25">
      <c r="A4" s="18" t="s">
        <v>33</v>
      </c>
      <c r="B4" s="19"/>
      <c r="C4" s="20"/>
      <c r="D4" s="20"/>
      <c r="E4" s="18">
        <v>20</v>
      </c>
      <c r="F4" s="11">
        <f>F3-F5</f>
        <v>166096.22698049992</v>
      </c>
      <c r="G4" s="12"/>
    </row>
    <row r="5" spans="1:17" x14ac:dyDescent="0.25">
      <c r="A5" s="18" t="s">
        <v>34</v>
      </c>
      <c r="B5" s="19"/>
      <c r="C5" s="20"/>
      <c r="D5" s="20"/>
      <c r="E5" s="18"/>
      <c r="F5" s="11">
        <f>SUM(Q:Q)</f>
        <v>16607.203019500022</v>
      </c>
      <c r="G5" s="12"/>
    </row>
    <row r="6" spans="1:17" x14ac:dyDescent="0.25">
      <c r="A6" s="18" t="s">
        <v>35</v>
      </c>
      <c r="B6" s="19"/>
      <c r="C6" s="20"/>
      <c r="D6" s="20"/>
      <c r="E6" s="18">
        <v>55</v>
      </c>
      <c r="F6" s="11"/>
      <c r="G6" s="12"/>
    </row>
    <row r="7" spans="1:17" ht="15.75" thickBot="1" x14ac:dyDescent="0.3">
      <c r="A7" s="21" t="s">
        <v>36</v>
      </c>
      <c r="B7" s="22"/>
      <c r="C7" s="23"/>
      <c r="D7" s="23"/>
      <c r="E7" s="21" t="s">
        <v>40</v>
      </c>
      <c r="F7" s="13">
        <f>F5-F6</f>
        <v>16607.203019500022</v>
      </c>
      <c r="G7" s="14"/>
    </row>
    <row r="8" spans="1:17" x14ac:dyDescent="0.25">
      <c r="A8" s="10"/>
    </row>
    <row r="12" spans="1:17" s="3" customFormat="1" ht="75" x14ac:dyDescent="0.25">
      <c r="A12" s="1"/>
      <c r="B12" s="30" t="s">
        <v>0</v>
      </c>
      <c r="C12" s="30" t="s">
        <v>1</v>
      </c>
      <c r="D12" s="30" t="s">
        <v>2</v>
      </c>
      <c r="E12" s="30" t="s">
        <v>3</v>
      </c>
      <c r="F12" s="31" t="s">
        <v>4</v>
      </c>
      <c r="G12" s="31" t="s">
        <v>5</v>
      </c>
      <c r="H12" s="32" t="s">
        <v>6</v>
      </c>
      <c r="I12" s="33" t="s">
        <v>7</v>
      </c>
      <c r="J12" s="33" t="s">
        <v>8</v>
      </c>
      <c r="K12" s="34" t="s">
        <v>9</v>
      </c>
      <c r="L12" s="34" t="s">
        <v>10</v>
      </c>
      <c r="M12" s="34" t="s">
        <v>11</v>
      </c>
      <c r="N12" s="2">
        <v>0</v>
      </c>
      <c r="O12" s="34" t="s">
        <v>12</v>
      </c>
      <c r="P12" s="34" t="s">
        <v>13</v>
      </c>
      <c r="Q12" s="34" t="s">
        <v>14</v>
      </c>
    </row>
    <row r="13" spans="1:17" x14ac:dyDescent="0.25">
      <c r="B13" s="35" t="s">
        <v>15</v>
      </c>
      <c r="C13" s="36">
        <v>200</v>
      </c>
      <c r="D13" s="37">
        <v>42959</v>
      </c>
      <c r="E13" s="37">
        <v>42959</v>
      </c>
      <c r="F13" s="38">
        <v>12.945399999999999</v>
      </c>
      <c r="G13" s="38">
        <v>11.6089</v>
      </c>
      <c r="H13" s="39">
        <v>-0.10299999999999999</v>
      </c>
      <c r="I13" s="42">
        <v>33670290.814851403</v>
      </c>
      <c r="J13" s="40">
        <v>33670290.814851403</v>
      </c>
      <c r="K13" s="41">
        <v>2321.7800000000002</v>
      </c>
      <c r="L13" s="41">
        <v>2589.08</v>
      </c>
      <c r="M13" s="41">
        <v>0</v>
      </c>
      <c r="N13" s="41">
        <v>1</v>
      </c>
      <c r="O13" s="41">
        <v>-267.29999999999973</v>
      </c>
      <c r="P13" s="41">
        <v>-267.29999999999973</v>
      </c>
      <c r="Q13" s="41">
        <v>-267.29999999999973</v>
      </c>
    </row>
    <row r="14" spans="1:17" x14ac:dyDescent="0.25">
      <c r="B14" s="35" t="s">
        <v>16</v>
      </c>
      <c r="C14" s="36">
        <v>3.1670700000000003E-2</v>
      </c>
      <c r="D14" s="37">
        <v>42867</v>
      </c>
      <c r="E14" s="37">
        <v>42867</v>
      </c>
      <c r="F14" s="38">
        <v>0</v>
      </c>
      <c r="G14" s="38">
        <v>5305.534768729457</v>
      </c>
      <c r="H14" s="39" t="s">
        <v>31</v>
      </c>
      <c r="I14" s="40">
        <v>33838306.238079198</v>
      </c>
      <c r="J14" s="40">
        <v>33838306.238079198</v>
      </c>
      <c r="K14" s="41">
        <v>168.03</v>
      </c>
      <c r="L14" s="41">
        <v>0</v>
      </c>
      <c r="M14" s="41">
        <v>0</v>
      </c>
      <c r="N14" s="41">
        <v>2</v>
      </c>
      <c r="O14" s="41">
        <v>168.03</v>
      </c>
      <c r="P14" s="41">
        <v>168.03</v>
      </c>
      <c r="Q14" s="41">
        <v>168.03</v>
      </c>
    </row>
    <row r="15" spans="1:17" x14ac:dyDescent="0.25">
      <c r="B15" s="35" t="s">
        <v>16</v>
      </c>
      <c r="C15" s="36">
        <v>9.4785990000000001E-2</v>
      </c>
      <c r="D15" s="37">
        <v>43019</v>
      </c>
      <c r="E15" s="37">
        <v>43019</v>
      </c>
      <c r="F15" s="38">
        <v>0</v>
      </c>
      <c r="G15" s="38">
        <v>3626.2743048840871</v>
      </c>
      <c r="H15" s="39" t="s">
        <v>31</v>
      </c>
      <c r="I15" s="40">
        <v>33804703.153433703</v>
      </c>
      <c r="J15" s="40">
        <v>33804703.153433703</v>
      </c>
      <c r="K15" s="41">
        <v>343.72</v>
      </c>
      <c r="L15" s="41">
        <v>0</v>
      </c>
      <c r="M15" s="41">
        <v>0</v>
      </c>
      <c r="N15" s="41">
        <v>3</v>
      </c>
      <c r="O15" s="41">
        <v>343.72</v>
      </c>
      <c r="P15" s="41">
        <v>343.72</v>
      </c>
      <c r="Q15" s="41">
        <v>343.72</v>
      </c>
    </row>
    <row r="16" spans="1:17" x14ac:dyDescent="0.25">
      <c r="B16" s="35" t="s">
        <v>16</v>
      </c>
      <c r="C16" s="36">
        <v>1.978829E-2</v>
      </c>
      <c r="D16" s="37">
        <v>43054</v>
      </c>
      <c r="E16" s="37">
        <v>43054</v>
      </c>
      <c r="F16" s="38">
        <v>0</v>
      </c>
      <c r="G16" s="38">
        <v>4677.5138225688024</v>
      </c>
      <c r="H16" s="39" t="s">
        <v>31</v>
      </c>
      <c r="I16" s="40">
        <v>33703893.899497002</v>
      </c>
      <c r="J16" s="40">
        <v>33703893.899497002</v>
      </c>
      <c r="K16" s="41">
        <v>92.56</v>
      </c>
      <c r="L16" s="41">
        <v>0</v>
      </c>
      <c r="M16" s="41">
        <v>0</v>
      </c>
      <c r="N16" s="41">
        <v>4</v>
      </c>
      <c r="O16" s="41">
        <v>92.56</v>
      </c>
      <c r="P16" s="41">
        <v>92.56</v>
      </c>
      <c r="Q16" s="41">
        <v>92.56</v>
      </c>
    </row>
    <row r="17" spans="2:17" x14ac:dyDescent="0.25">
      <c r="B17" s="35" t="s">
        <v>16</v>
      </c>
      <c r="C17" s="36">
        <v>0.10431667</v>
      </c>
      <c r="D17" s="37">
        <v>43055</v>
      </c>
      <c r="E17" s="37">
        <v>43056</v>
      </c>
      <c r="F17" s="38">
        <v>3714.554922046495</v>
      </c>
      <c r="G17" s="38">
        <v>4216.9674319550268</v>
      </c>
      <c r="H17" s="39">
        <v>0.13500000000000001</v>
      </c>
      <c r="I17" s="40">
        <v>33703893.899497002</v>
      </c>
      <c r="J17" s="40">
        <v>33703893.899497002</v>
      </c>
      <c r="K17" s="41">
        <v>439.9</v>
      </c>
      <c r="L17" s="41">
        <v>387.49</v>
      </c>
      <c r="M17" s="41">
        <v>0</v>
      </c>
      <c r="N17" s="41">
        <v>5</v>
      </c>
      <c r="O17" s="41">
        <v>52.409999999999968</v>
      </c>
      <c r="P17" s="41">
        <v>52.409999999999968</v>
      </c>
      <c r="Q17" s="41">
        <v>52.409999999999968</v>
      </c>
    </row>
    <row r="18" spans="2:17" x14ac:dyDescent="0.25">
      <c r="B18" s="35" t="s">
        <v>16</v>
      </c>
      <c r="C18" s="36">
        <v>7.5599999999999996E-6</v>
      </c>
      <c r="D18" s="37">
        <v>43055</v>
      </c>
      <c r="E18" s="37">
        <v>43067</v>
      </c>
      <c r="F18" s="38">
        <v>3968.2539682539682</v>
      </c>
      <c r="G18" s="38">
        <v>5291.0052910052918</v>
      </c>
      <c r="H18" s="39">
        <v>0.33300000000000002</v>
      </c>
      <c r="I18" s="40">
        <v>33703893.899497002</v>
      </c>
      <c r="J18" s="40">
        <v>33703893.899497002</v>
      </c>
      <c r="K18" s="41">
        <v>0.04</v>
      </c>
      <c r="L18" s="41">
        <v>0.03</v>
      </c>
      <c r="M18" s="41">
        <v>0</v>
      </c>
      <c r="N18" s="41">
        <v>6</v>
      </c>
      <c r="O18" s="41">
        <v>0.01</v>
      </c>
      <c r="P18" s="41">
        <v>0.01</v>
      </c>
      <c r="Q18" s="41">
        <v>0.01</v>
      </c>
    </row>
    <row r="19" spans="2:17" x14ac:dyDescent="0.25">
      <c r="B19" s="35" t="s">
        <v>16</v>
      </c>
      <c r="C19" s="36">
        <v>1.2746842300000001</v>
      </c>
      <c r="D19" s="37">
        <v>43064</v>
      </c>
      <c r="E19" s="37">
        <v>43067</v>
      </c>
      <c r="F19" s="38">
        <v>5677.8218712253147</v>
      </c>
      <c r="G19" s="38">
        <v>5256.0703602648318</v>
      </c>
      <c r="H19" s="39">
        <v>-7.3999999999999996E-2</v>
      </c>
      <c r="I19" s="40">
        <v>33703893.899497002</v>
      </c>
      <c r="J19" s="40">
        <v>33703893.899497002</v>
      </c>
      <c r="K19" s="41">
        <v>6699.83</v>
      </c>
      <c r="L19" s="41">
        <v>7237.43</v>
      </c>
      <c r="M19" s="41">
        <v>0</v>
      </c>
      <c r="N19" s="41">
        <v>7</v>
      </c>
      <c r="O19" s="41">
        <v>-537.60000000000036</v>
      </c>
      <c r="P19" s="41">
        <v>-537.60000000000036</v>
      </c>
      <c r="Q19" s="41">
        <v>-537.60000000000036</v>
      </c>
    </row>
    <row r="20" spans="2:17" x14ac:dyDescent="0.25">
      <c r="B20" s="35" t="s">
        <v>16</v>
      </c>
      <c r="C20" s="36">
        <v>5.0510649999999997E-2</v>
      </c>
      <c r="D20" s="37">
        <v>43067</v>
      </c>
      <c r="E20" s="37">
        <v>43067</v>
      </c>
      <c r="F20" s="38">
        <v>0</v>
      </c>
      <c r="G20" s="38">
        <v>5256.1192540583033</v>
      </c>
      <c r="H20" s="39" t="s">
        <v>31</v>
      </c>
      <c r="I20" s="40">
        <v>33703893.899497002</v>
      </c>
      <c r="J20" s="40">
        <v>33703893.899497002</v>
      </c>
      <c r="K20" s="41">
        <v>265.49</v>
      </c>
      <c r="L20" s="41">
        <v>0</v>
      </c>
      <c r="M20" s="41">
        <v>0</v>
      </c>
      <c r="N20" s="41">
        <v>8</v>
      </c>
      <c r="O20" s="41">
        <v>265.49</v>
      </c>
      <c r="P20" s="41">
        <v>265.49</v>
      </c>
      <c r="Q20" s="41">
        <v>265.49</v>
      </c>
    </row>
    <row r="21" spans="2:17" x14ac:dyDescent="0.25">
      <c r="B21" s="35" t="s">
        <v>16</v>
      </c>
      <c r="C21" s="36">
        <v>6.7785750000000006E-2</v>
      </c>
      <c r="D21" s="37">
        <v>43089</v>
      </c>
      <c r="E21" s="37">
        <v>43089</v>
      </c>
      <c r="F21" s="38">
        <v>0</v>
      </c>
      <c r="G21" s="38">
        <v>12958.033214945621</v>
      </c>
      <c r="H21" s="39" t="s">
        <v>31</v>
      </c>
      <c r="I21" s="40">
        <v>33737496.984142497</v>
      </c>
      <c r="J21" s="40">
        <v>33737496.984142497</v>
      </c>
      <c r="K21" s="41">
        <v>878.37</v>
      </c>
      <c r="L21" s="41">
        <v>0</v>
      </c>
      <c r="M21" s="41">
        <v>0</v>
      </c>
      <c r="N21" s="41">
        <v>9</v>
      </c>
      <c r="O21" s="41">
        <v>878.37</v>
      </c>
      <c r="P21" s="41">
        <v>878.37</v>
      </c>
      <c r="Q21" s="41">
        <v>878.37</v>
      </c>
    </row>
    <row r="22" spans="2:17" x14ac:dyDescent="0.25">
      <c r="B22" s="35" t="s">
        <v>17</v>
      </c>
      <c r="C22" s="36">
        <v>3.9339600000000002E-3</v>
      </c>
      <c r="D22" s="37">
        <v>42747</v>
      </c>
      <c r="E22" s="37">
        <v>42959</v>
      </c>
      <c r="F22" s="38">
        <v>34850.379770002743</v>
      </c>
      <c r="G22" s="38">
        <v>51853.602985287092</v>
      </c>
      <c r="H22" s="39">
        <v>0.48799999999999999</v>
      </c>
      <c r="I22" s="40">
        <v>33535878.4762692</v>
      </c>
      <c r="J22" s="40">
        <v>33670290.814851403</v>
      </c>
      <c r="K22" s="41">
        <v>203.99</v>
      </c>
      <c r="L22" s="41">
        <v>137.1</v>
      </c>
      <c r="M22" s="41">
        <v>0.5497710000000211</v>
      </c>
      <c r="N22" s="41">
        <v>10</v>
      </c>
      <c r="O22" s="41">
        <v>66.890000000000015</v>
      </c>
      <c r="P22" s="41">
        <v>66.340228999999994</v>
      </c>
      <c r="Q22" s="41">
        <v>66.340228999999994</v>
      </c>
    </row>
    <row r="23" spans="2:17" x14ac:dyDescent="0.25">
      <c r="B23" s="35" t="s">
        <v>17</v>
      </c>
      <c r="C23" s="36">
        <v>2.9743780000000001E-2</v>
      </c>
      <c r="D23" s="37">
        <v>42898</v>
      </c>
      <c r="E23" s="37">
        <v>42959</v>
      </c>
      <c r="F23" s="38">
        <v>45256.18465440505</v>
      </c>
      <c r="G23" s="38">
        <v>51854.875204160329</v>
      </c>
      <c r="H23" s="39">
        <v>0.14599999999999999</v>
      </c>
      <c r="I23" s="40">
        <v>33603084.645560302</v>
      </c>
      <c r="J23" s="40">
        <v>33670290.814851403</v>
      </c>
      <c r="K23" s="41">
        <v>1542.36</v>
      </c>
      <c r="L23" s="41">
        <v>1346.09</v>
      </c>
      <c r="M23" s="41">
        <v>2.692180000000008</v>
      </c>
      <c r="N23" s="41">
        <v>11</v>
      </c>
      <c r="O23" s="41">
        <v>196.27</v>
      </c>
      <c r="P23" s="41">
        <v>193.57782</v>
      </c>
      <c r="Q23" s="41">
        <v>193.57782</v>
      </c>
    </row>
    <row r="24" spans="2:17" x14ac:dyDescent="0.25">
      <c r="B24" s="35" t="s">
        <v>17</v>
      </c>
      <c r="C24" s="36">
        <v>2.5801080000000001E-2</v>
      </c>
      <c r="D24" s="37">
        <v>43055</v>
      </c>
      <c r="E24" s="37">
        <v>42959</v>
      </c>
      <c r="F24" s="38">
        <v>28032.54747475687</v>
      </c>
      <c r="G24" s="38">
        <v>51854.806077885107</v>
      </c>
      <c r="H24" s="39">
        <v>0.85</v>
      </c>
      <c r="I24" s="40">
        <v>33703893.899497002</v>
      </c>
      <c r="J24" s="40">
        <v>33670290.814851403</v>
      </c>
      <c r="K24" s="41">
        <v>1337.91</v>
      </c>
      <c r="L24" s="41">
        <v>723.27</v>
      </c>
      <c r="M24" s="41">
        <v>0</v>
      </c>
      <c r="N24" s="41">
        <v>12</v>
      </c>
      <c r="O24" s="41">
        <v>614.6400000000001</v>
      </c>
      <c r="P24" s="41">
        <v>614.6400000000001</v>
      </c>
      <c r="Q24" s="41">
        <v>614.6400000000001</v>
      </c>
    </row>
    <row r="25" spans="2:17" x14ac:dyDescent="0.25">
      <c r="B25" s="35" t="s">
        <v>17</v>
      </c>
      <c r="C25" s="36">
        <v>0.24275606</v>
      </c>
      <c r="D25" s="37">
        <v>43056</v>
      </c>
      <c r="E25" s="37">
        <v>42959</v>
      </c>
      <c r="F25" s="38">
        <v>27302.758168014421</v>
      </c>
      <c r="G25" s="38">
        <v>51854.812604884093</v>
      </c>
      <c r="H25" s="39">
        <v>0.89900000000000002</v>
      </c>
      <c r="I25" s="40">
        <v>33703893.899497002</v>
      </c>
      <c r="J25" s="40">
        <v>33670290.814851403</v>
      </c>
      <c r="K25" s="41">
        <v>12588.07</v>
      </c>
      <c r="L25" s="41">
        <v>6627.91</v>
      </c>
      <c r="M25" s="41">
        <v>0</v>
      </c>
      <c r="N25" s="41">
        <v>13</v>
      </c>
      <c r="O25" s="41">
        <v>5960.16</v>
      </c>
      <c r="P25" s="41">
        <v>5960.16</v>
      </c>
      <c r="Q25" s="41">
        <v>5960.16</v>
      </c>
    </row>
    <row r="26" spans="2:17" x14ac:dyDescent="0.25">
      <c r="B26" s="35" t="s">
        <v>17</v>
      </c>
      <c r="C26" s="36">
        <v>4.0862399999999997E-3</v>
      </c>
      <c r="D26" s="37">
        <v>42745</v>
      </c>
      <c r="E26" s="37">
        <v>43055</v>
      </c>
      <c r="F26" s="38">
        <v>15145.95324797369</v>
      </c>
      <c r="G26" s="38">
        <v>27746.779435373352</v>
      </c>
      <c r="H26" s="39">
        <v>0.83199999999999996</v>
      </c>
      <c r="I26" s="40">
        <v>33535878.4762692</v>
      </c>
      <c r="J26" s="40">
        <v>33703893.899497002</v>
      </c>
      <c r="K26" s="41">
        <v>113.38</v>
      </c>
      <c r="L26" s="41">
        <v>61.89</v>
      </c>
      <c r="M26" s="41">
        <v>0.31006889999999743</v>
      </c>
      <c r="N26" s="41">
        <v>14</v>
      </c>
      <c r="O26" s="41">
        <v>51.489999999999988</v>
      </c>
      <c r="P26" s="41">
        <v>51.179931099999997</v>
      </c>
      <c r="Q26" s="41">
        <v>51.179931099999997</v>
      </c>
    </row>
    <row r="27" spans="2:17" x14ac:dyDescent="0.25">
      <c r="B27" s="35" t="s">
        <v>17</v>
      </c>
      <c r="C27" s="36">
        <v>0.22928587</v>
      </c>
      <c r="D27" s="37">
        <v>43023</v>
      </c>
      <c r="E27" s="37">
        <v>43055</v>
      </c>
      <c r="F27" s="38">
        <v>20452.241562029099</v>
      </c>
      <c r="G27" s="38">
        <v>27784.006053229528</v>
      </c>
      <c r="H27" s="39">
        <v>0.35799999999999998</v>
      </c>
      <c r="I27" s="40">
        <v>33804703.153433703</v>
      </c>
      <c r="J27" s="40">
        <v>33703893.899497002</v>
      </c>
      <c r="K27" s="41">
        <v>6370.48</v>
      </c>
      <c r="L27" s="41">
        <v>4689.41</v>
      </c>
      <c r="M27" s="41">
        <v>0</v>
      </c>
      <c r="N27" s="41">
        <v>15</v>
      </c>
      <c r="O27" s="41">
        <v>1681.07</v>
      </c>
      <c r="P27" s="41">
        <v>1681.07</v>
      </c>
      <c r="Q27" s="41">
        <v>1681.07</v>
      </c>
    </row>
    <row r="28" spans="2:17" x14ac:dyDescent="0.25">
      <c r="B28" s="35" t="s">
        <v>17</v>
      </c>
      <c r="C28" s="36">
        <v>0.17678037999999999</v>
      </c>
      <c r="D28" s="37">
        <v>42866</v>
      </c>
      <c r="E28" s="37">
        <v>43056</v>
      </c>
      <c r="F28" s="38">
        <v>27025.11443860456</v>
      </c>
      <c r="G28" s="38">
        <v>28244.423957002469</v>
      </c>
      <c r="H28" s="39">
        <v>4.4999999999999998E-2</v>
      </c>
      <c r="I28" s="40">
        <v>33838306.238079198</v>
      </c>
      <c r="J28" s="40">
        <v>33703893.899497002</v>
      </c>
      <c r="K28" s="41">
        <v>4993.0600000000004</v>
      </c>
      <c r="L28" s="41">
        <v>4777.51</v>
      </c>
      <c r="M28" s="41">
        <v>0</v>
      </c>
      <c r="N28" s="41">
        <v>16</v>
      </c>
      <c r="O28" s="41">
        <v>215.55000000000021</v>
      </c>
      <c r="P28" s="41">
        <v>215.55000000000021</v>
      </c>
      <c r="Q28" s="41">
        <v>215.55000000000021</v>
      </c>
    </row>
    <row r="29" spans="2:17" x14ac:dyDescent="0.25">
      <c r="B29" s="35" t="s">
        <v>17</v>
      </c>
      <c r="C29" s="36">
        <v>1.5185870000000001E-2</v>
      </c>
      <c r="D29" s="37">
        <v>43023</v>
      </c>
      <c r="E29" s="37">
        <v>43056</v>
      </c>
      <c r="F29" s="38">
        <v>20452.56544406083</v>
      </c>
      <c r="G29" s="38">
        <v>28244.677453448501</v>
      </c>
      <c r="H29" s="39">
        <v>0.38100000000000001</v>
      </c>
      <c r="I29" s="40">
        <v>33804703.153433703</v>
      </c>
      <c r="J29" s="40">
        <v>33703893.899497002</v>
      </c>
      <c r="K29" s="41">
        <v>428.92</v>
      </c>
      <c r="L29" s="41">
        <v>310.58999999999997</v>
      </c>
      <c r="M29" s="41">
        <v>0</v>
      </c>
      <c r="N29" s="41">
        <v>17</v>
      </c>
      <c r="O29" s="41">
        <v>118.33</v>
      </c>
      <c r="P29" s="41">
        <v>118.33</v>
      </c>
      <c r="Q29" s="41">
        <v>118.33</v>
      </c>
    </row>
    <row r="30" spans="2:17" x14ac:dyDescent="0.25">
      <c r="B30" s="35" t="s">
        <v>17</v>
      </c>
      <c r="C30" s="36">
        <v>8.1956300000000006E-3</v>
      </c>
      <c r="D30" s="37">
        <v>42866</v>
      </c>
      <c r="E30" s="37">
        <v>43064</v>
      </c>
      <c r="F30" s="38">
        <v>27025.378158848071</v>
      </c>
      <c r="G30" s="38">
        <v>29840.292936601581</v>
      </c>
      <c r="H30" s="39">
        <v>0.104</v>
      </c>
      <c r="I30" s="40">
        <v>33838306.238079198</v>
      </c>
      <c r="J30" s="40">
        <v>33703893.899497002</v>
      </c>
      <c r="K30" s="41">
        <v>244.56</v>
      </c>
      <c r="L30" s="41">
        <v>221.49</v>
      </c>
      <c r="M30" s="41">
        <v>0</v>
      </c>
      <c r="N30" s="41">
        <v>18</v>
      </c>
      <c r="O30" s="41">
        <v>23.06999999999999</v>
      </c>
      <c r="P30" s="41">
        <v>23.06999999999999</v>
      </c>
      <c r="Q30" s="41">
        <v>23.06999999999999</v>
      </c>
    </row>
    <row r="31" spans="2:17" x14ac:dyDescent="0.25">
      <c r="B31" s="35" t="s">
        <v>17</v>
      </c>
      <c r="C31" s="36">
        <v>1.44695E-2</v>
      </c>
      <c r="D31" s="37">
        <v>43019</v>
      </c>
      <c r="E31" s="37">
        <v>43064</v>
      </c>
      <c r="F31" s="38">
        <v>23705.034728221432</v>
      </c>
      <c r="G31" s="38">
        <v>29840.008293306611</v>
      </c>
      <c r="H31" s="39">
        <v>0.25900000000000001</v>
      </c>
      <c r="I31" s="40">
        <v>33804703.153433703</v>
      </c>
      <c r="J31" s="40">
        <v>33703893.899497002</v>
      </c>
      <c r="K31" s="41">
        <v>431.77</v>
      </c>
      <c r="L31" s="41">
        <v>343</v>
      </c>
      <c r="M31" s="41">
        <v>0</v>
      </c>
      <c r="N31" s="41">
        <v>19</v>
      </c>
      <c r="O31" s="41">
        <v>88.769999999999982</v>
      </c>
      <c r="P31" s="41">
        <v>88.769999999999982</v>
      </c>
      <c r="Q31" s="41">
        <v>88.769999999999982</v>
      </c>
    </row>
    <row r="32" spans="2:17" x14ac:dyDescent="0.25">
      <c r="B32" s="35" t="s">
        <v>17</v>
      </c>
      <c r="C32" s="36">
        <v>5.3924550000000002E-2</v>
      </c>
      <c r="D32" s="37">
        <v>43053</v>
      </c>
      <c r="E32" s="37">
        <v>43064</v>
      </c>
      <c r="F32" s="38">
        <v>25793.817472746639</v>
      </c>
      <c r="G32" s="38">
        <v>29839.84103715283</v>
      </c>
      <c r="H32" s="39">
        <v>0.157</v>
      </c>
      <c r="I32" s="40">
        <v>33703893.899497002</v>
      </c>
      <c r="J32" s="40">
        <v>33703893.899497002</v>
      </c>
      <c r="K32" s="41">
        <v>1609.1</v>
      </c>
      <c r="L32" s="41">
        <v>1390.92</v>
      </c>
      <c r="M32" s="41">
        <v>0</v>
      </c>
      <c r="N32" s="41">
        <v>20</v>
      </c>
      <c r="O32" s="41">
        <v>218.17999999999981</v>
      </c>
      <c r="P32" s="41">
        <v>218.17999999999981</v>
      </c>
      <c r="Q32" s="41">
        <v>218.17999999999981</v>
      </c>
    </row>
    <row r="33" spans="2:17" x14ac:dyDescent="0.25">
      <c r="B33" s="35" t="s">
        <v>17</v>
      </c>
      <c r="C33" s="36">
        <v>0.16616560999999999</v>
      </c>
      <c r="D33" s="37">
        <v>43055</v>
      </c>
      <c r="E33" s="37">
        <v>43064</v>
      </c>
      <c r="F33" s="38">
        <v>28032.575452887031</v>
      </c>
      <c r="G33" s="38">
        <v>29839.989152990202</v>
      </c>
      <c r="H33" s="39">
        <v>6.4000000000000001E-2</v>
      </c>
      <c r="I33" s="40">
        <v>33703893.899497002</v>
      </c>
      <c r="J33" s="40">
        <v>33703893.899497002</v>
      </c>
      <c r="K33" s="41">
        <v>4958.38</v>
      </c>
      <c r="L33" s="41">
        <v>4658.05</v>
      </c>
      <c r="M33" s="41">
        <v>0</v>
      </c>
      <c r="N33" s="41">
        <v>21</v>
      </c>
      <c r="O33" s="41">
        <v>300.32999999999993</v>
      </c>
      <c r="P33" s="41">
        <v>300.32999999999993</v>
      </c>
      <c r="Q33" s="41">
        <v>300.32999999999993</v>
      </c>
    </row>
    <row r="34" spans="2:17" x14ac:dyDescent="0.25">
      <c r="B34" s="35" t="s">
        <v>18</v>
      </c>
      <c r="C34" s="36">
        <v>1000</v>
      </c>
      <c r="D34" s="37">
        <v>43067</v>
      </c>
      <c r="E34" s="37">
        <v>42747</v>
      </c>
      <c r="F34" s="38">
        <v>0.3488</v>
      </c>
      <c r="G34" s="38">
        <v>0.36758000000000002</v>
      </c>
      <c r="H34" s="39">
        <v>5.3999999999999999E-2</v>
      </c>
      <c r="I34" s="40">
        <v>33703893.899497002</v>
      </c>
      <c r="J34" s="40">
        <v>33535878.4762692</v>
      </c>
      <c r="K34" s="41">
        <v>367.58</v>
      </c>
      <c r="L34" s="41">
        <v>348.8</v>
      </c>
      <c r="M34" s="41">
        <v>0</v>
      </c>
      <c r="N34" s="41">
        <v>22</v>
      </c>
      <c r="O34" s="41">
        <v>18.78000000000003</v>
      </c>
      <c r="P34" s="41">
        <v>18.78000000000003</v>
      </c>
      <c r="Q34" s="41">
        <v>18.78000000000003</v>
      </c>
    </row>
    <row r="35" spans="2:17" x14ac:dyDescent="0.25">
      <c r="B35" s="35" t="s">
        <v>19</v>
      </c>
      <c r="C35" s="36">
        <v>199.6</v>
      </c>
      <c r="D35" s="37">
        <v>42959</v>
      </c>
      <c r="E35" s="37">
        <v>42959</v>
      </c>
      <c r="F35" s="38">
        <v>8.5576152304609234</v>
      </c>
      <c r="G35" s="38">
        <v>8.4296593186372757</v>
      </c>
      <c r="H35" s="39">
        <v>-1.4999999999999999E-2</v>
      </c>
      <c r="I35" s="40">
        <v>33670290.814851403</v>
      </c>
      <c r="J35" s="40">
        <v>33670290.814851403</v>
      </c>
      <c r="K35" s="41">
        <v>1682.56</v>
      </c>
      <c r="L35" s="41">
        <v>1708.1</v>
      </c>
      <c r="M35" s="41">
        <v>0</v>
      </c>
      <c r="N35" s="41">
        <v>23</v>
      </c>
      <c r="O35" s="41">
        <v>-25.53999999999996</v>
      </c>
      <c r="P35" s="41">
        <v>-25.53999999999996</v>
      </c>
      <c r="Q35" s="41">
        <v>-25.53999999999996</v>
      </c>
    </row>
    <row r="36" spans="2:17" x14ac:dyDescent="0.25">
      <c r="B36" s="35" t="s">
        <v>19</v>
      </c>
      <c r="C36" s="36">
        <v>0.8</v>
      </c>
      <c r="D36" s="37">
        <v>42959</v>
      </c>
      <c r="E36" s="37">
        <v>43086</v>
      </c>
      <c r="F36" s="38">
        <v>8.5749999999999993</v>
      </c>
      <c r="G36" s="38">
        <v>11.0625</v>
      </c>
      <c r="H36" s="39">
        <v>0.28999999999999998</v>
      </c>
      <c r="I36" s="40">
        <v>33670290.814851403</v>
      </c>
      <c r="J36" s="40">
        <v>33737496.984142497</v>
      </c>
      <c r="K36" s="41">
        <v>8.85</v>
      </c>
      <c r="L36" s="41">
        <v>6.86</v>
      </c>
      <c r="M36" s="41">
        <v>1.372000000000018E-2</v>
      </c>
      <c r="N36" s="41">
        <v>24</v>
      </c>
      <c r="O36" s="41">
        <v>1.9899999999999991</v>
      </c>
      <c r="P36" s="41">
        <v>1.9762799999999989</v>
      </c>
      <c r="Q36" s="41">
        <v>1.9762799999999989</v>
      </c>
    </row>
    <row r="37" spans="2:17" x14ac:dyDescent="0.25">
      <c r="B37" s="35" t="s">
        <v>19</v>
      </c>
      <c r="C37" s="36">
        <v>1342.608694</v>
      </c>
      <c r="D37" s="37">
        <v>43086</v>
      </c>
      <c r="E37" s="37">
        <v>43086</v>
      </c>
      <c r="F37" s="38">
        <v>10.85826426206652</v>
      </c>
      <c r="G37" s="38">
        <v>11.056803122414459</v>
      </c>
      <c r="H37" s="39">
        <v>1.7999999999999999E-2</v>
      </c>
      <c r="I37" s="40">
        <v>33737496.984142497</v>
      </c>
      <c r="J37" s="40">
        <v>33737496.984142497</v>
      </c>
      <c r="K37" s="41">
        <v>14844.96</v>
      </c>
      <c r="L37" s="41">
        <v>14578.4</v>
      </c>
      <c r="M37" s="41">
        <v>0</v>
      </c>
      <c r="N37" s="41">
        <v>25</v>
      </c>
      <c r="O37" s="41">
        <v>266.55999999999949</v>
      </c>
      <c r="P37" s="41">
        <v>266.55999999999949</v>
      </c>
      <c r="Q37" s="41">
        <v>266.55999999999949</v>
      </c>
    </row>
    <row r="38" spans="2:17" x14ac:dyDescent="0.25">
      <c r="B38" s="35" t="s">
        <v>20</v>
      </c>
      <c r="C38" s="36">
        <v>199.99999996</v>
      </c>
      <c r="D38" s="37">
        <v>42959</v>
      </c>
      <c r="E38" s="37">
        <v>42959</v>
      </c>
      <c r="F38" s="38">
        <v>15.109950003021989</v>
      </c>
      <c r="G38" s="38">
        <v>14.42275000288455</v>
      </c>
      <c r="H38" s="39">
        <v>-4.4999999999999998E-2</v>
      </c>
      <c r="I38" s="40">
        <v>33670290.814851403</v>
      </c>
      <c r="J38" s="40">
        <v>33670290.814851403</v>
      </c>
      <c r="K38" s="41">
        <v>2884.55</v>
      </c>
      <c r="L38" s="41">
        <v>3021.99</v>
      </c>
      <c r="M38" s="41">
        <v>0</v>
      </c>
      <c r="N38" s="41">
        <v>26</v>
      </c>
      <c r="O38" s="41">
        <v>-137.4399999999996</v>
      </c>
      <c r="P38" s="41">
        <v>-137.4399999999996</v>
      </c>
      <c r="Q38" s="41">
        <v>-137.4399999999996</v>
      </c>
    </row>
    <row r="39" spans="2:17" x14ac:dyDescent="0.25">
      <c r="B39" s="35" t="s">
        <v>21</v>
      </c>
      <c r="C39" s="36">
        <v>5</v>
      </c>
      <c r="D39" s="37">
        <v>43067</v>
      </c>
      <c r="E39" s="37">
        <v>42747</v>
      </c>
      <c r="F39" s="38">
        <v>107.408</v>
      </c>
      <c r="G39" s="38">
        <v>103.66200000000001</v>
      </c>
      <c r="H39" s="39">
        <v>-3.5000000000000003E-2</v>
      </c>
      <c r="I39" s="40">
        <v>33703893.899497002</v>
      </c>
      <c r="J39" s="40">
        <v>33535878.4762692</v>
      </c>
      <c r="K39" s="41">
        <v>518.31000000000006</v>
      </c>
      <c r="L39" s="41">
        <v>537.04</v>
      </c>
      <c r="M39" s="41">
        <v>0</v>
      </c>
      <c r="N39" s="41">
        <v>27</v>
      </c>
      <c r="O39" s="41">
        <v>-18.729999999999901</v>
      </c>
      <c r="P39" s="41">
        <v>-18.729999999999901</v>
      </c>
      <c r="Q39" s="41">
        <v>-18.729999999999901</v>
      </c>
    </row>
    <row r="40" spans="2:17" x14ac:dyDescent="0.25">
      <c r="B40" s="35" t="s">
        <v>22</v>
      </c>
      <c r="C40" s="36">
        <v>2.4130000000000001E-5</v>
      </c>
      <c r="D40" s="37">
        <v>43055</v>
      </c>
      <c r="E40" s="37">
        <v>42747</v>
      </c>
      <c r="F40" s="38">
        <v>1243.265644426026</v>
      </c>
      <c r="G40" s="38">
        <v>1657.687525901368</v>
      </c>
      <c r="H40" s="39">
        <v>0.33300000000000002</v>
      </c>
      <c r="I40" s="40">
        <v>33703893.899497002</v>
      </c>
      <c r="J40" s="40">
        <v>33535878.4762692</v>
      </c>
      <c r="K40" s="41">
        <v>0.04</v>
      </c>
      <c r="L40" s="41">
        <v>0.03</v>
      </c>
      <c r="M40" s="41">
        <v>0</v>
      </c>
      <c r="N40" s="41">
        <v>28</v>
      </c>
      <c r="O40" s="41">
        <v>0.01</v>
      </c>
      <c r="P40" s="41">
        <v>0.01</v>
      </c>
      <c r="Q40" s="41">
        <v>0.01</v>
      </c>
    </row>
    <row r="41" spans="2:17" x14ac:dyDescent="0.25">
      <c r="B41" s="35" t="s">
        <v>22</v>
      </c>
      <c r="C41" s="36">
        <v>0.99997586999999999</v>
      </c>
      <c r="D41" s="37">
        <v>43067</v>
      </c>
      <c r="E41" s="37">
        <v>42747</v>
      </c>
      <c r="F41" s="38">
        <v>1620.6391060216281</v>
      </c>
      <c r="G41" s="38">
        <v>1621.039115673861</v>
      </c>
      <c r="H41" s="39">
        <v>0</v>
      </c>
      <c r="I41" s="40">
        <v>33703893.899497002</v>
      </c>
      <c r="J41" s="40">
        <v>33535878.4762692</v>
      </c>
      <c r="K41" s="41">
        <v>1621</v>
      </c>
      <c r="L41" s="41">
        <v>1620.6</v>
      </c>
      <c r="M41" s="41">
        <v>0</v>
      </c>
      <c r="N41" s="41">
        <v>29</v>
      </c>
      <c r="O41" s="41">
        <v>0.40000000000009089</v>
      </c>
      <c r="P41" s="41">
        <v>0.40000000000009089</v>
      </c>
      <c r="Q41" s="41">
        <v>0.40000000000009089</v>
      </c>
    </row>
    <row r="42" spans="2:17" x14ac:dyDescent="0.25">
      <c r="B42" s="35" t="s">
        <v>22</v>
      </c>
      <c r="C42" s="36">
        <v>0.68207587000000003</v>
      </c>
      <c r="D42" s="37">
        <v>43055</v>
      </c>
      <c r="E42" s="37">
        <v>43056</v>
      </c>
      <c r="F42" s="38">
        <v>1184.853526631869</v>
      </c>
      <c r="G42" s="38">
        <v>1162.3780210843699</v>
      </c>
      <c r="H42" s="39">
        <v>-1.9E-2</v>
      </c>
      <c r="I42" s="40">
        <v>33703893.899497002</v>
      </c>
      <c r="J42" s="40">
        <v>33703893.899497002</v>
      </c>
      <c r="K42" s="41">
        <v>792.83</v>
      </c>
      <c r="L42" s="41">
        <v>808.16</v>
      </c>
      <c r="M42" s="41">
        <v>0</v>
      </c>
      <c r="N42" s="41">
        <v>30</v>
      </c>
      <c r="O42" s="41">
        <v>-15.329999999999931</v>
      </c>
      <c r="P42" s="41">
        <v>-15.329999999999931</v>
      </c>
      <c r="Q42" s="41">
        <v>-15.329999999999931</v>
      </c>
    </row>
    <row r="43" spans="2:17" x14ac:dyDescent="0.25">
      <c r="B43" s="35" t="s">
        <v>22</v>
      </c>
      <c r="C43" s="36">
        <v>2.4130000000000001E-5</v>
      </c>
      <c r="D43" s="37">
        <v>43067</v>
      </c>
      <c r="E43" s="37">
        <v>43097</v>
      </c>
      <c r="F43" s="38">
        <v>1657.687525901368</v>
      </c>
      <c r="G43" s="38">
        <v>2486.5312888520511</v>
      </c>
      <c r="H43" s="39">
        <v>0.5</v>
      </c>
      <c r="I43" s="40">
        <v>33703893.899497002</v>
      </c>
      <c r="J43" s="40">
        <v>33737496.984142497</v>
      </c>
      <c r="K43" s="41">
        <v>0.06</v>
      </c>
      <c r="L43" s="41">
        <v>0.04</v>
      </c>
      <c r="M43" s="41">
        <v>3.999999999999837E-5</v>
      </c>
      <c r="N43" s="41">
        <v>31</v>
      </c>
      <c r="O43" s="41">
        <v>0.02</v>
      </c>
      <c r="P43" s="41">
        <v>1.9959999999999999E-2</v>
      </c>
      <c r="Q43" s="41">
        <v>1.9959999999999999E-2</v>
      </c>
    </row>
    <row r="44" spans="2:17" x14ac:dyDescent="0.25">
      <c r="B44" s="35" t="s">
        <v>22</v>
      </c>
      <c r="C44" s="36">
        <v>1.9999758700000001</v>
      </c>
      <c r="D44" s="37">
        <v>43088</v>
      </c>
      <c r="E44" s="37">
        <v>43097</v>
      </c>
      <c r="F44" s="38">
        <v>2882.7097798934942</v>
      </c>
      <c r="G44" s="38">
        <v>2450.5895663631181</v>
      </c>
      <c r="H44" s="39">
        <v>-0.15</v>
      </c>
      <c r="I44" s="40">
        <v>33737496.984142497</v>
      </c>
      <c r="J44" s="40">
        <v>33737496.984142497</v>
      </c>
      <c r="K44" s="41">
        <v>4901.12</v>
      </c>
      <c r="L44" s="41">
        <v>5765.3499999999995</v>
      </c>
      <c r="M44" s="41">
        <v>0</v>
      </c>
      <c r="N44" s="41">
        <v>32</v>
      </c>
      <c r="O44" s="41">
        <v>-864.22999999999956</v>
      </c>
      <c r="P44" s="41">
        <v>-864.22999999999956</v>
      </c>
      <c r="Q44" s="41">
        <v>-864.22999999999956</v>
      </c>
    </row>
    <row r="45" spans="2:17" x14ac:dyDescent="0.25">
      <c r="B45" s="35" t="s">
        <v>23</v>
      </c>
      <c r="C45" s="36">
        <v>-3.051529E-2</v>
      </c>
      <c r="D45" s="37">
        <v>43067</v>
      </c>
      <c r="E45" s="37">
        <v>42867</v>
      </c>
      <c r="F45" s="38">
        <v>4.2601594151653153</v>
      </c>
      <c r="G45" s="38">
        <v>15.07441023827727</v>
      </c>
      <c r="H45" s="39">
        <v>2.5379999999999998</v>
      </c>
      <c r="I45" s="40">
        <v>33703893.899497002</v>
      </c>
      <c r="J45" s="40">
        <v>33838306.238079198</v>
      </c>
      <c r="K45" s="41">
        <v>-0.46</v>
      </c>
      <c r="L45" s="41">
        <v>-0.13</v>
      </c>
      <c r="M45" s="41">
        <v>0</v>
      </c>
      <c r="N45" s="41">
        <v>33</v>
      </c>
      <c r="O45" s="41">
        <v>-0.33</v>
      </c>
      <c r="P45" s="41">
        <v>-0.33</v>
      </c>
      <c r="Q45" s="41">
        <v>-0.33</v>
      </c>
    </row>
    <row r="46" spans="2:17" x14ac:dyDescent="0.25">
      <c r="B46" s="35" t="s">
        <v>23</v>
      </c>
      <c r="C46" s="36">
        <v>445.66874598999999</v>
      </c>
      <c r="D46" s="37">
        <v>42747</v>
      </c>
      <c r="E46" s="37">
        <v>42898</v>
      </c>
      <c r="F46" s="38">
        <v>5.0757429601104622</v>
      </c>
      <c r="G46" s="38">
        <v>16.26791213257453</v>
      </c>
      <c r="H46" s="39">
        <v>2.2050000000000001</v>
      </c>
      <c r="I46" s="40">
        <v>33535878.4762692</v>
      </c>
      <c r="J46" s="40">
        <v>33603084.645560302</v>
      </c>
      <c r="K46" s="41">
        <v>7250.1</v>
      </c>
      <c r="L46" s="41">
        <v>2262.1</v>
      </c>
      <c r="M46" s="41">
        <v>4.524199999999837</v>
      </c>
      <c r="N46" s="41">
        <v>34</v>
      </c>
      <c r="O46" s="41">
        <v>4988</v>
      </c>
      <c r="P46" s="41">
        <v>4983.4758000000002</v>
      </c>
      <c r="Q46" s="41">
        <v>4983.4758000000002</v>
      </c>
    </row>
    <row r="47" spans="2:17" x14ac:dyDescent="0.25">
      <c r="B47" s="35" t="s">
        <v>23</v>
      </c>
      <c r="C47" s="36">
        <v>410.7654271699999</v>
      </c>
      <c r="D47" s="37">
        <v>42867</v>
      </c>
      <c r="E47" s="37">
        <v>42898</v>
      </c>
      <c r="F47" s="38">
        <v>11.23446545098388</v>
      </c>
      <c r="G47" s="38">
        <v>16.268214309171661</v>
      </c>
      <c r="H47" s="39">
        <v>0.44800000000000001</v>
      </c>
      <c r="I47" s="40">
        <v>33838306.238079198</v>
      </c>
      <c r="J47" s="40">
        <v>33603084.645560302</v>
      </c>
      <c r="K47" s="41">
        <v>6682.42</v>
      </c>
      <c r="L47" s="41">
        <v>4614.7299999999996</v>
      </c>
      <c r="M47" s="41">
        <v>0</v>
      </c>
      <c r="N47" s="41">
        <v>35</v>
      </c>
      <c r="O47" s="41">
        <v>2067.69</v>
      </c>
      <c r="P47" s="41">
        <v>2067.69</v>
      </c>
      <c r="Q47" s="41">
        <v>2067.69</v>
      </c>
    </row>
    <row r="48" spans="2:17" x14ac:dyDescent="0.25">
      <c r="B48" s="35" t="s">
        <v>23</v>
      </c>
      <c r="C48" s="36">
        <v>2866.7299276600002</v>
      </c>
      <c r="D48" s="37">
        <v>42898</v>
      </c>
      <c r="E48" s="37">
        <v>42898</v>
      </c>
      <c r="F48" s="38">
        <v>15.607605574663181</v>
      </c>
      <c r="G48" s="38">
        <v>15.093193670782259</v>
      </c>
      <c r="H48" s="39">
        <v>-3.3000000000000002E-2</v>
      </c>
      <c r="I48" s="40">
        <v>33603084.645560302</v>
      </c>
      <c r="J48" s="40">
        <v>33603084.645560302</v>
      </c>
      <c r="K48" s="41">
        <v>43268.110000000008</v>
      </c>
      <c r="L48" s="41">
        <v>44742.789999999994</v>
      </c>
      <c r="M48" s="41">
        <v>0</v>
      </c>
      <c r="N48" s="41">
        <v>36</v>
      </c>
      <c r="O48" s="41">
        <v>-1474.679999999986</v>
      </c>
      <c r="P48" s="41">
        <v>-1474.679999999986</v>
      </c>
      <c r="Q48" s="41">
        <v>-1474.679999999986</v>
      </c>
    </row>
    <row r="49" spans="2:17" x14ac:dyDescent="0.25">
      <c r="B49" s="35" t="s">
        <v>23</v>
      </c>
      <c r="C49" s="36">
        <v>100.03051529</v>
      </c>
      <c r="D49" s="37">
        <v>43067</v>
      </c>
      <c r="E49" s="37">
        <v>42898</v>
      </c>
      <c r="F49" s="38">
        <v>4.3255800367076169</v>
      </c>
      <c r="G49" s="38">
        <v>16.26803576171001</v>
      </c>
      <c r="H49" s="39">
        <v>2.7610000000000001</v>
      </c>
      <c r="I49" s="40">
        <v>33703893.899497002</v>
      </c>
      <c r="J49" s="40">
        <v>33603084.645560302</v>
      </c>
      <c r="K49" s="41">
        <v>1627.3</v>
      </c>
      <c r="L49" s="41">
        <v>432.69</v>
      </c>
      <c r="M49" s="41">
        <v>0</v>
      </c>
      <c r="N49" s="41">
        <v>37</v>
      </c>
      <c r="O49" s="41">
        <v>1194.6099999999999</v>
      </c>
      <c r="P49" s="41">
        <v>1194.6099999999999</v>
      </c>
      <c r="Q49" s="41">
        <v>1194.6099999999999</v>
      </c>
    </row>
    <row r="50" spans="2:17" x14ac:dyDescent="0.25">
      <c r="B50" s="35" t="s">
        <v>23</v>
      </c>
      <c r="C50" s="36">
        <v>200</v>
      </c>
      <c r="D50" s="37">
        <v>42959</v>
      </c>
      <c r="E50" s="37">
        <v>43020</v>
      </c>
      <c r="F50" s="38">
        <v>14.397</v>
      </c>
      <c r="G50" s="38">
        <v>13.0433</v>
      </c>
      <c r="H50" s="39">
        <v>-9.4E-2</v>
      </c>
      <c r="I50" s="40">
        <v>33670290.814851403</v>
      </c>
      <c r="J50" s="40">
        <v>33804703.153433703</v>
      </c>
      <c r="K50" s="41">
        <v>2608.66</v>
      </c>
      <c r="L50" s="41">
        <v>2879.4</v>
      </c>
      <c r="M50" s="41">
        <v>11.48880599999984</v>
      </c>
      <c r="N50" s="41">
        <v>38</v>
      </c>
      <c r="O50" s="41">
        <v>-270.74000000000018</v>
      </c>
      <c r="P50" s="41">
        <v>-282.22880600000008</v>
      </c>
      <c r="Q50" s="41">
        <v>-270.74000000000018</v>
      </c>
    </row>
    <row r="51" spans="2:17" x14ac:dyDescent="0.25">
      <c r="B51" s="35" t="s">
        <v>23</v>
      </c>
      <c r="C51" s="36">
        <v>200</v>
      </c>
      <c r="D51" s="37">
        <v>43089</v>
      </c>
      <c r="E51" s="37">
        <v>43089</v>
      </c>
      <c r="F51" s="38">
        <v>16.7942</v>
      </c>
      <c r="G51" s="38">
        <v>16.811499999999999</v>
      </c>
      <c r="H51" s="39">
        <v>1E-3</v>
      </c>
      <c r="I51" s="40">
        <v>33737496.984142497</v>
      </c>
      <c r="J51" s="40">
        <v>33737496.984142497</v>
      </c>
      <c r="K51" s="41">
        <v>3362.3</v>
      </c>
      <c r="L51" s="41">
        <v>3358.84</v>
      </c>
      <c r="M51" s="41">
        <v>0</v>
      </c>
      <c r="N51" s="41">
        <v>39</v>
      </c>
      <c r="O51" s="41">
        <v>3.4600000000000359</v>
      </c>
      <c r="P51" s="41">
        <v>3.4600000000000359</v>
      </c>
      <c r="Q51" s="41">
        <v>3.4600000000000359</v>
      </c>
    </row>
    <row r="52" spans="2:17" x14ac:dyDescent="0.25">
      <c r="B52" s="35" t="s">
        <v>24</v>
      </c>
      <c r="C52" s="36">
        <v>-9.4547099999999999E-3</v>
      </c>
      <c r="D52" s="37">
        <v>43067</v>
      </c>
      <c r="E52" s="37">
        <v>42747</v>
      </c>
      <c r="F52" s="38">
        <v>317.30217002954078</v>
      </c>
      <c r="G52" s="38">
        <v>310.95612662895002</v>
      </c>
      <c r="H52" s="39">
        <v>-0.02</v>
      </c>
      <c r="I52" s="40">
        <v>33703893.899497002</v>
      </c>
      <c r="J52" s="40">
        <v>33535878.4762692</v>
      </c>
      <c r="K52" s="41">
        <v>-2.94</v>
      </c>
      <c r="L52" s="41">
        <v>-3</v>
      </c>
      <c r="M52" s="41">
        <v>1.496999999999993E-2</v>
      </c>
      <c r="N52" s="41">
        <v>40</v>
      </c>
      <c r="O52" s="41">
        <v>6.0000000000000053E-2</v>
      </c>
      <c r="P52" s="41">
        <v>4.5030000000000132E-2</v>
      </c>
      <c r="Q52" s="41">
        <v>4.5030000000000132E-2</v>
      </c>
    </row>
    <row r="53" spans="2:17" x14ac:dyDescent="0.25">
      <c r="B53" s="35" t="s">
        <v>24</v>
      </c>
      <c r="C53" s="36">
        <v>6.9898987000000012</v>
      </c>
      <c r="D53" s="37">
        <v>42747</v>
      </c>
      <c r="E53" s="37">
        <v>42867</v>
      </c>
      <c r="F53" s="38">
        <v>342.14801997058981</v>
      </c>
      <c r="G53" s="38">
        <v>353.74046264790638</v>
      </c>
      <c r="H53" s="39">
        <v>3.4000000000000002E-2</v>
      </c>
      <c r="I53" s="40">
        <v>33535878.4762692</v>
      </c>
      <c r="J53" s="40">
        <v>33838306.238079198</v>
      </c>
      <c r="K53" s="41">
        <v>2472.61</v>
      </c>
      <c r="L53" s="41">
        <v>2391.58</v>
      </c>
      <c r="M53" s="41">
        <v>21.572051600000119</v>
      </c>
      <c r="N53" s="41">
        <v>41</v>
      </c>
      <c r="O53" s="41">
        <v>81.0300000000002</v>
      </c>
      <c r="P53" s="41">
        <v>59.457948400000078</v>
      </c>
      <c r="Q53" s="41">
        <v>59.457948400000078</v>
      </c>
    </row>
    <row r="54" spans="2:17" x14ac:dyDescent="0.25">
      <c r="B54" s="35" t="s">
        <v>24</v>
      </c>
      <c r="C54" s="36">
        <v>5.58194444</v>
      </c>
      <c r="D54" s="37">
        <v>43067</v>
      </c>
      <c r="E54" s="37">
        <v>42867</v>
      </c>
      <c r="F54" s="38">
        <v>318.18661383881488</v>
      </c>
      <c r="G54" s="38">
        <v>353.74053275241852</v>
      </c>
      <c r="H54" s="39">
        <v>0.112</v>
      </c>
      <c r="I54" s="40">
        <v>33703893.899497002</v>
      </c>
      <c r="J54" s="40">
        <v>33838306.238079198</v>
      </c>
      <c r="K54" s="41">
        <v>1974.56</v>
      </c>
      <c r="L54" s="41">
        <v>1776.1</v>
      </c>
      <c r="M54" s="41">
        <v>7.0866389999998773</v>
      </c>
      <c r="N54" s="41">
        <v>42</v>
      </c>
      <c r="O54" s="41">
        <v>198.46000000000029</v>
      </c>
      <c r="P54" s="41">
        <v>191.37336100000039</v>
      </c>
      <c r="Q54" s="41">
        <v>191.37336100000039</v>
      </c>
    </row>
    <row r="55" spans="2:17" x14ac:dyDescent="0.25">
      <c r="B55" s="35" t="s">
        <v>24</v>
      </c>
      <c r="C55" s="36">
        <v>-5.4847999999999995E-4</v>
      </c>
      <c r="D55" s="37">
        <v>42747</v>
      </c>
      <c r="E55" s="37">
        <v>43090</v>
      </c>
      <c r="F55" s="38">
        <v>346.41190198366399</v>
      </c>
      <c r="G55" s="38">
        <v>1075.7001166861139</v>
      </c>
      <c r="H55" s="39">
        <v>2.105</v>
      </c>
      <c r="I55" s="40">
        <v>33535878.4762692</v>
      </c>
      <c r="J55" s="40">
        <v>33737496.984142497</v>
      </c>
      <c r="K55" s="41">
        <v>-0.59</v>
      </c>
      <c r="L55" s="41">
        <v>-0.19</v>
      </c>
      <c r="M55" s="41">
        <v>0</v>
      </c>
      <c r="N55" s="41">
        <v>43</v>
      </c>
      <c r="O55" s="41">
        <v>-0.4</v>
      </c>
      <c r="P55" s="41">
        <v>-0.4</v>
      </c>
      <c r="Q55" s="41">
        <v>-0.4</v>
      </c>
    </row>
    <row r="56" spans="2:17" x14ac:dyDescent="0.25">
      <c r="B56" s="35" t="s">
        <v>24</v>
      </c>
      <c r="C56" s="36">
        <v>-1.1443200000000001E-2</v>
      </c>
      <c r="D56" s="37">
        <v>42747</v>
      </c>
      <c r="E56" s="37">
        <v>43097</v>
      </c>
      <c r="F56" s="38">
        <v>342.56152125279641</v>
      </c>
      <c r="G56" s="38">
        <v>859.02544742729299</v>
      </c>
      <c r="H56" s="39">
        <v>1.508</v>
      </c>
      <c r="I56" s="40">
        <v>33535878.4762692</v>
      </c>
      <c r="J56" s="40">
        <v>33737496.984142497</v>
      </c>
      <c r="K56" s="41">
        <v>-9.83</v>
      </c>
      <c r="L56" s="41">
        <v>-3.92</v>
      </c>
      <c r="M56" s="41">
        <v>0</v>
      </c>
      <c r="N56" s="41">
        <v>44</v>
      </c>
      <c r="O56" s="41">
        <v>-5.91</v>
      </c>
      <c r="P56" s="41">
        <v>-5.91</v>
      </c>
      <c r="Q56" s="41">
        <v>-5.91</v>
      </c>
    </row>
    <row r="57" spans="2:17" x14ac:dyDescent="0.25">
      <c r="B57" s="35" t="s">
        <v>25</v>
      </c>
      <c r="C57" s="36">
        <v>63.712498699999998</v>
      </c>
      <c r="D57" s="37">
        <v>43086</v>
      </c>
      <c r="E57" s="37">
        <v>43086</v>
      </c>
      <c r="F57" s="38">
        <v>228.9205461659283</v>
      </c>
      <c r="G57" s="38">
        <v>229.9107757329254</v>
      </c>
      <c r="H57" s="39">
        <v>4.0000000000000001E-3</v>
      </c>
      <c r="I57" s="40">
        <v>33737496.984142497</v>
      </c>
      <c r="J57" s="40">
        <v>33737496.984142497</v>
      </c>
      <c r="K57" s="41">
        <v>14648.19</v>
      </c>
      <c r="L57" s="41">
        <v>14585.1</v>
      </c>
      <c r="M57" s="41">
        <v>0</v>
      </c>
      <c r="N57" s="41">
        <v>45</v>
      </c>
      <c r="O57" s="41">
        <v>63.090000000000153</v>
      </c>
      <c r="P57" s="41">
        <v>63.090000000000153</v>
      </c>
      <c r="Q57" s="41">
        <v>63.090000000000153</v>
      </c>
    </row>
    <row r="58" spans="2:17" x14ac:dyDescent="0.25">
      <c r="B58" s="35" t="s">
        <v>25</v>
      </c>
      <c r="C58" s="36">
        <v>0.25536071999999999</v>
      </c>
      <c r="D58" s="37">
        <v>43086</v>
      </c>
      <c r="E58" s="37">
        <v>43087</v>
      </c>
      <c r="F58" s="38">
        <v>228.9310587783431</v>
      </c>
      <c r="G58" s="38">
        <v>258.65371933475132</v>
      </c>
      <c r="H58" s="39">
        <v>0.13</v>
      </c>
      <c r="I58" s="40">
        <v>33737496.984142497</v>
      </c>
      <c r="J58" s="40">
        <v>33737496.984142497</v>
      </c>
      <c r="K58" s="41">
        <v>66.05</v>
      </c>
      <c r="L58" s="41">
        <v>58.46</v>
      </c>
      <c r="M58" s="41">
        <v>0</v>
      </c>
      <c r="N58" s="41">
        <v>46</v>
      </c>
      <c r="O58" s="41">
        <v>7.5899999999999963</v>
      </c>
      <c r="P58" s="41">
        <v>7.5899999999999963</v>
      </c>
      <c r="Q58" s="41">
        <v>7.5899999999999963</v>
      </c>
    </row>
    <row r="59" spans="2:17" x14ac:dyDescent="0.25">
      <c r="B59" s="35" t="s">
        <v>25</v>
      </c>
      <c r="C59" s="36">
        <v>56.073465719999987</v>
      </c>
      <c r="D59" s="37">
        <v>43087</v>
      </c>
      <c r="E59" s="37">
        <v>43087</v>
      </c>
      <c r="F59" s="38">
        <v>263.58830884120363</v>
      </c>
      <c r="G59" s="38">
        <v>258.65442440143153</v>
      </c>
      <c r="H59" s="39">
        <v>-1.9E-2</v>
      </c>
      <c r="I59" s="40">
        <v>33737496.984142497</v>
      </c>
      <c r="J59" s="40">
        <v>33737496.984142497</v>
      </c>
      <c r="K59" s="41">
        <v>14503.65</v>
      </c>
      <c r="L59" s="41">
        <v>14780.31</v>
      </c>
      <c r="M59" s="41">
        <v>0</v>
      </c>
      <c r="N59" s="41">
        <v>47</v>
      </c>
      <c r="O59" s="41">
        <v>-276.65999999999991</v>
      </c>
      <c r="P59" s="41">
        <v>-276.65999999999991</v>
      </c>
      <c r="Q59" s="41">
        <v>-276.65999999999991</v>
      </c>
    </row>
    <row r="60" spans="2:17" x14ac:dyDescent="0.25">
      <c r="B60" s="35" t="s">
        <v>25</v>
      </c>
      <c r="C60" s="36">
        <v>0.22544322999999999</v>
      </c>
      <c r="D60" s="37">
        <v>43087</v>
      </c>
      <c r="E60" s="37">
        <v>43090</v>
      </c>
      <c r="F60" s="38">
        <v>263.65839417754972</v>
      </c>
      <c r="G60" s="38">
        <v>257.53711921178558</v>
      </c>
      <c r="H60" s="39">
        <v>-2.3E-2</v>
      </c>
      <c r="I60" s="40">
        <v>33737496.984142497</v>
      </c>
      <c r="J60" s="40">
        <v>33737496.984142497</v>
      </c>
      <c r="K60" s="41">
        <v>58.06</v>
      </c>
      <c r="L60" s="41">
        <v>59.44</v>
      </c>
      <c r="M60" s="41">
        <v>0</v>
      </c>
      <c r="N60" s="41">
        <v>48</v>
      </c>
      <c r="O60" s="41">
        <v>-1.379999999999995</v>
      </c>
      <c r="P60" s="41">
        <v>-1.379999999999995</v>
      </c>
      <c r="Q60" s="41">
        <v>-1.379999999999995</v>
      </c>
    </row>
    <row r="61" spans="2:17" x14ac:dyDescent="0.25">
      <c r="B61" s="35" t="s">
        <v>25</v>
      </c>
      <c r="C61" s="36">
        <v>1.6489869699999999</v>
      </c>
      <c r="D61" s="37">
        <v>43088</v>
      </c>
      <c r="E61" s="37">
        <v>43090</v>
      </c>
      <c r="F61" s="38">
        <v>255.56296542476619</v>
      </c>
      <c r="G61" s="38">
        <v>257.00627579852858</v>
      </c>
      <c r="H61" s="39">
        <v>6.0000000000000001E-3</v>
      </c>
      <c r="I61" s="40">
        <v>33737496.984142497</v>
      </c>
      <c r="J61" s="40">
        <v>33737496.984142497</v>
      </c>
      <c r="K61" s="41">
        <v>423.8</v>
      </c>
      <c r="L61" s="41">
        <v>421.42</v>
      </c>
      <c r="M61" s="41">
        <v>0</v>
      </c>
      <c r="N61" s="41">
        <v>49</v>
      </c>
      <c r="O61" s="41">
        <v>2.379999999999995</v>
      </c>
      <c r="P61" s="41">
        <v>2.379999999999995</v>
      </c>
      <c r="Q61" s="41">
        <v>2.379999999999995</v>
      </c>
    </row>
    <row r="62" spans="2:17" x14ac:dyDescent="0.25">
      <c r="B62" s="35" t="s">
        <v>26</v>
      </c>
      <c r="C62" s="36">
        <v>113.96</v>
      </c>
      <c r="D62" s="37">
        <v>43089</v>
      </c>
      <c r="E62" s="37">
        <v>43089</v>
      </c>
      <c r="F62" s="38">
        <v>3.4294489294489292</v>
      </c>
      <c r="G62" s="38">
        <v>3.4319936819936818</v>
      </c>
      <c r="H62" s="39">
        <v>1E-3</v>
      </c>
      <c r="I62" s="40">
        <v>33737496.984142497</v>
      </c>
      <c r="J62" s="40">
        <v>33737496.984142497</v>
      </c>
      <c r="K62" s="41">
        <v>391.11</v>
      </c>
      <c r="L62" s="41">
        <v>390.82</v>
      </c>
      <c r="M62" s="41">
        <v>0</v>
      </c>
      <c r="N62" s="41">
        <v>50</v>
      </c>
      <c r="O62" s="41">
        <v>0.29000000000002052</v>
      </c>
      <c r="P62" s="41">
        <v>0.29000000000002052</v>
      </c>
      <c r="Q62" s="41">
        <v>0.29000000000002052</v>
      </c>
    </row>
    <row r="63" spans="2:17" x14ac:dyDescent="0.25">
      <c r="B63" s="35" t="s">
        <v>27</v>
      </c>
      <c r="C63" s="36">
        <v>199.60000002999999</v>
      </c>
      <c r="D63" s="37">
        <v>42959</v>
      </c>
      <c r="E63" s="37">
        <v>42990</v>
      </c>
      <c r="F63" s="38">
        <v>10.72004007854909</v>
      </c>
      <c r="G63" s="38">
        <v>9.8513527039301572</v>
      </c>
      <c r="H63" s="39">
        <v>-8.1000000000000003E-2</v>
      </c>
      <c r="I63" s="40">
        <v>33670290.814851403</v>
      </c>
      <c r="J63" s="40">
        <v>33703893.899497002</v>
      </c>
      <c r="K63" s="41">
        <v>1966.33</v>
      </c>
      <c r="L63" s="41">
        <v>2139.7199999999998</v>
      </c>
      <c r="M63" s="41">
        <v>2.1397199999996701</v>
      </c>
      <c r="N63" s="41">
        <v>51</v>
      </c>
      <c r="O63" s="41">
        <v>-173.3899999999999</v>
      </c>
      <c r="P63" s="41">
        <v>-175.52971999999949</v>
      </c>
      <c r="Q63" s="41">
        <v>-173.3899999999999</v>
      </c>
    </row>
    <row r="64" spans="2:17" x14ac:dyDescent="0.25">
      <c r="B64" s="35" t="s">
        <v>28</v>
      </c>
      <c r="C64" s="36">
        <v>2</v>
      </c>
      <c r="D64" s="37">
        <v>43067</v>
      </c>
      <c r="E64" s="37">
        <v>42747</v>
      </c>
      <c r="F64" s="38">
        <v>640.84500000000003</v>
      </c>
      <c r="G64" s="38">
        <v>650.005</v>
      </c>
      <c r="H64" s="39">
        <v>1.4E-2</v>
      </c>
      <c r="I64" s="40">
        <v>33703893.899497002</v>
      </c>
      <c r="J64" s="40">
        <v>33535878.4762692</v>
      </c>
      <c r="K64" s="41">
        <v>1300.01</v>
      </c>
      <c r="L64" s="41">
        <v>1281.69</v>
      </c>
      <c r="M64" s="41">
        <v>0</v>
      </c>
      <c r="N64" s="41">
        <v>52</v>
      </c>
      <c r="O64" s="41">
        <v>18.31999999999994</v>
      </c>
      <c r="P64" s="41">
        <v>18.31999999999994</v>
      </c>
      <c r="Q64" s="41">
        <v>18.31999999999994</v>
      </c>
    </row>
    <row r="65" spans="2:17" x14ac:dyDescent="0.25">
      <c r="B65" s="35" t="s">
        <v>28</v>
      </c>
      <c r="C65" s="36">
        <v>2</v>
      </c>
      <c r="D65" s="37">
        <v>43088</v>
      </c>
      <c r="E65" s="37">
        <v>43089</v>
      </c>
      <c r="F65" s="38">
        <v>1274.125</v>
      </c>
      <c r="G65" s="38">
        <v>1435.895</v>
      </c>
      <c r="H65" s="39">
        <v>0.127</v>
      </c>
      <c r="I65" s="40">
        <v>33737496.984142497</v>
      </c>
      <c r="J65" s="40">
        <v>33737496.984142497</v>
      </c>
      <c r="K65" s="41">
        <v>2871.79</v>
      </c>
      <c r="L65" s="41">
        <v>2548.25</v>
      </c>
      <c r="M65" s="41">
        <v>0</v>
      </c>
      <c r="N65" s="41">
        <v>53</v>
      </c>
      <c r="O65" s="41">
        <v>323.54000000000002</v>
      </c>
      <c r="P65" s="41">
        <v>323.54000000000002</v>
      </c>
      <c r="Q65" s="41">
        <v>323.54000000000002</v>
      </c>
    </row>
    <row r="66" spans="2:17" x14ac:dyDescent="0.25">
      <c r="B66" s="35" t="s">
        <v>29</v>
      </c>
      <c r="C66" s="36">
        <v>998.2</v>
      </c>
      <c r="D66" s="37">
        <v>43067</v>
      </c>
      <c r="E66" s="37">
        <v>42747</v>
      </c>
      <c r="F66" s="38">
        <v>0.92721899418954123</v>
      </c>
      <c r="G66" s="38">
        <v>0.85986776197154868</v>
      </c>
      <c r="H66" s="39">
        <v>-7.2999999999999995E-2</v>
      </c>
      <c r="I66" s="40">
        <v>33703893.899497002</v>
      </c>
      <c r="J66" s="40">
        <v>33535878.4762692</v>
      </c>
      <c r="K66" s="41">
        <v>858.31999999999994</v>
      </c>
      <c r="L66" s="41">
        <v>925.55000000000007</v>
      </c>
      <c r="M66" s="41">
        <v>0</v>
      </c>
      <c r="N66" s="41">
        <v>54</v>
      </c>
      <c r="O66" s="41">
        <v>-67.230000000000132</v>
      </c>
      <c r="P66" s="41">
        <v>-67.230000000000132</v>
      </c>
      <c r="Q66" s="41">
        <v>-67.230000000000132</v>
      </c>
    </row>
    <row r="67" spans="2:17" x14ac:dyDescent="0.25">
      <c r="B67" s="35" t="s">
        <v>29</v>
      </c>
      <c r="C67" s="36">
        <v>3.6</v>
      </c>
      <c r="D67" s="37">
        <v>43067</v>
      </c>
      <c r="E67" s="37">
        <v>43090</v>
      </c>
      <c r="F67" s="38">
        <v>0.9277777777777777</v>
      </c>
      <c r="G67" s="38">
        <v>2.9722222222222219</v>
      </c>
      <c r="H67" s="39">
        <v>2.2040000000000002</v>
      </c>
      <c r="I67" s="40">
        <v>33703893.899497002</v>
      </c>
      <c r="J67" s="40">
        <v>33737496.984142497</v>
      </c>
      <c r="K67" s="41">
        <v>10.7</v>
      </c>
      <c r="L67" s="41">
        <v>3.34</v>
      </c>
      <c r="M67" s="41">
        <v>3.339999999999677E-3</v>
      </c>
      <c r="N67" s="41">
        <v>55</v>
      </c>
      <c r="O67" s="41">
        <v>7.3599999999999994</v>
      </c>
      <c r="P67" s="41">
        <v>7.3566599999999998</v>
      </c>
      <c r="Q67" s="41">
        <v>7.3566599999999998</v>
      </c>
    </row>
    <row r="68" spans="2:17" x14ac:dyDescent="0.25">
      <c r="B68" s="35" t="s">
        <v>29</v>
      </c>
      <c r="C68" s="36">
        <v>196.4</v>
      </c>
      <c r="D68" s="37">
        <v>43088</v>
      </c>
      <c r="E68" s="37">
        <v>43090</v>
      </c>
      <c r="F68" s="38">
        <v>2.7042769857433808</v>
      </c>
      <c r="G68" s="38">
        <v>2.969908350305499</v>
      </c>
      <c r="H68" s="39">
        <v>9.8000000000000004E-2</v>
      </c>
      <c r="I68" s="40">
        <v>33737496.984142497</v>
      </c>
      <c r="J68" s="40">
        <v>33737496.984142497</v>
      </c>
      <c r="K68" s="41">
        <v>583.29</v>
      </c>
      <c r="L68" s="41">
        <v>531.12</v>
      </c>
      <c r="M68" s="41">
        <v>0</v>
      </c>
      <c r="N68" s="41">
        <v>56</v>
      </c>
      <c r="O68" s="41">
        <v>52.169999999999959</v>
      </c>
      <c r="P68" s="41">
        <v>52.169999999999959</v>
      </c>
      <c r="Q68" s="41">
        <v>52.169999999999959</v>
      </c>
    </row>
    <row r="69" spans="2:17" x14ac:dyDescent="0.25">
      <c r="B69" s="35" t="s">
        <v>30</v>
      </c>
      <c r="C69" s="36">
        <v>1</v>
      </c>
      <c r="D69" s="37">
        <v>43088</v>
      </c>
      <c r="E69" s="37">
        <v>43089</v>
      </c>
      <c r="F69" s="38">
        <v>1986.62</v>
      </c>
      <c r="G69" s="38">
        <v>2136.33</v>
      </c>
      <c r="H69" s="39">
        <v>7.4999999999999997E-2</v>
      </c>
      <c r="I69" s="40">
        <v>33737496.984142497</v>
      </c>
      <c r="J69" s="40">
        <v>33737496.984142497</v>
      </c>
      <c r="K69" s="41">
        <v>2136.33</v>
      </c>
      <c r="L69" s="41">
        <v>1986.62</v>
      </c>
      <c r="M69" s="41">
        <v>0</v>
      </c>
      <c r="N69" s="41">
        <v>1986.62</v>
      </c>
      <c r="O69" s="41">
        <v>149.71</v>
      </c>
      <c r="P69" s="41">
        <v>149.71</v>
      </c>
      <c r="Q69" s="41">
        <v>149.71</v>
      </c>
    </row>
  </sheetData>
  <mergeCells count="7">
    <mergeCell ref="A2:D2"/>
    <mergeCell ref="F2:G2"/>
    <mergeCell ref="F4:G4"/>
    <mergeCell ref="F5:G5"/>
    <mergeCell ref="F6:G6"/>
    <mergeCell ref="F7:G7"/>
    <mergeCell ref="F3:G3"/>
  </mergeCells>
  <pageMargins left="0.23622047244094502" right="0.23622047244094502" top="0.74803149606299202" bottom="0.74803149606299202" header="0.31496062992126" footer="0.31496062992126"/>
  <pageSetup paperSize="9" scale="58" fitToHeight="0" orientation="portrait" horizontalDpi="300" verticalDpi="300" r:id="rId1"/>
  <headerFooter>
    <oddHeader>&amp;L&amp;D&amp;C&amp;"David,2020 îåãâù"ðñôç ìèåôñ øååç äåï áâéï îëéøú îèáòåú åéøèåàìééí ìùðú&amp;R&amp;"David,îåãâù"ùí:</oddHeader>
    <oddFooter>&amp;C&amp;"David,îåãâù"&amp;P&amp;R&amp;"David,øâéì"øååçéí àìå çåùáå ìôé ùéèú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</vt:i4>
      </vt:variant>
      <vt:variant>
        <vt:lpstr>טווחים בעלי שם</vt:lpstr>
      </vt:variant>
      <vt:variant>
        <vt:i4>1</vt:i4>
      </vt:variant>
    </vt:vector>
  </HeadingPairs>
  <TitlesOfParts>
    <vt:vector size="2" baseType="lpstr">
      <vt:lpstr>Sheet1</vt:lpstr>
      <vt:lpstr>Sheet1!WPrint_TitlesW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Ronit</cp:lastModifiedBy>
  <dcterms:created xsi:type="dcterms:W3CDTF">2020-05-25T19:47:59Z</dcterms:created>
  <dcterms:modified xsi:type="dcterms:W3CDTF">2020-05-25T19:50:33Z</dcterms:modified>
</cp:coreProperties>
</file>